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PivotChartFilter="1" defaultThemeVersion="124226"/>
  <bookViews>
    <workbookView xWindow="576" yWindow="312" windowWidth="14052" windowHeight="5580" tabRatio="789" activeTab="5"/>
  </bookViews>
  <sheets>
    <sheet name="Pivot_Region" sheetId="6" r:id="rId1"/>
    <sheet name="Pivot_Category" sheetId="7" r:id="rId2"/>
    <sheet name="Pivot_Monthly" sheetId="8" r:id="rId3"/>
    <sheet name="Pivot_Customers" sheetId="9" r:id="rId4"/>
    <sheet name="Orders" sheetId="1" r:id="rId5"/>
    <sheet name="Customers" sheetId="2" r:id="rId6"/>
  </sheets>
  <calcPr calcId="125725"/>
  <pivotCaches>
    <pivotCache cacheId="14" r:id="rId7"/>
    <pivotCache cacheId="18" r:id="rId8"/>
    <pivotCache cacheId="21" r:id="rId9"/>
  </pivotCaches>
</workbook>
</file>

<file path=xl/calcChain.xml><?xml version="1.0" encoding="utf-8"?>
<calcChain xmlns="http://schemas.openxmlformats.org/spreadsheetml/2006/main">
  <c r="T3" i="1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T45"/>
  <c r="T46"/>
  <c r="T47"/>
  <c r="T48"/>
  <c r="T49"/>
  <c r="T50"/>
  <c r="T51"/>
  <c r="T52"/>
  <c r="T53"/>
  <c r="T54"/>
  <c r="T55"/>
  <c r="T56"/>
  <c r="T57"/>
  <c r="T58"/>
  <c r="T59"/>
  <c r="T60"/>
  <c r="T61"/>
  <c r="T62"/>
  <c r="T63"/>
  <c r="T64"/>
  <c r="T65"/>
  <c r="T66"/>
  <c r="T67"/>
  <c r="T68"/>
  <c r="T69"/>
  <c r="T70"/>
  <c r="T71"/>
  <c r="T72"/>
  <c r="T73"/>
  <c r="T74"/>
  <c r="T75"/>
  <c r="T76"/>
  <c r="T77"/>
  <c r="T78"/>
  <c r="T79"/>
  <c r="T80"/>
  <c r="T81"/>
  <c r="T82"/>
  <c r="T83"/>
  <c r="T84"/>
  <c r="T85"/>
  <c r="T86"/>
  <c r="T87"/>
  <c r="T88"/>
  <c r="T89"/>
  <c r="T90"/>
  <c r="T91"/>
  <c r="T92"/>
  <c r="T93"/>
  <c r="T94"/>
  <c r="T95"/>
  <c r="T96"/>
  <c r="T97"/>
  <c r="T98"/>
  <c r="T99"/>
  <c r="T100"/>
  <c r="T101"/>
  <c r="T102"/>
  <c r="T103"/>
  <c r="T104"/>
  <c r="T105"/>
  <c r="T106"/>
  <c r="T107"/>
  <c r="T108"/>
  <c r="T109"/>
  <c r="T110"/>
  <c r="T111"/>
  <c r="T112"/>
  <c r="T113"/>
  <c r="T114"/>
  <c r="T115"/>
  <c r="T116"/>
  <c r="T117"/>
  <c r="T118"/>
  <c r="T119"/>
  <c r="T120"/>
  <c r="T121"/>
  <c r="T122"/>
  <c r="T123"/>
  <c r="T124"/>
  <c r="T125"/>
  <c r="T126"/>
  <c r="T127"/>
  <c r="T128"/>
  <c r="T129"/>
  <c r="T130"/>
  <c r="T131"/>
  <c r="T132"/>
  <c r="T133"/>
  <c r="T134"/>
  <c r="T135"/>
  <c r="T136"/>
  <c r="T137"/>
  <c r="T138"/>
  <c r="T139"/>
  <c r="T140"/>
  <c r="T141"/>
  <c r="T142"/>
  <c r="T143"/>
  <c r="T144"/>
  <c r="T145"/>
  <c r="T146"/>
  <c r="T147"/>
  <c r="T148"/>
  <c r="T149"/>
  <c r="T150"/>
  <c r="T151"/>
  <c r="T152"/>
  <c r="T153"/>
  <c r="T154"/>
  <c r="T155"/>
  <c r="T156"/>
  <c r="T157"/>
  <c r="T158"/>
  <c r="T159"/>
  <c r="T160"/>
  <c r="T161"/>
  <c r="T162"/>
  <c r="T163"/>
  <c r="T164"/>
  <c r="T165"/>
  <c r="T166"/>
  <c r="T167"/>
  <c r="T168"/>
  <c r="T169"/>
  <c r="T170"/>
  <c r="T171"/>
  <c r="T172"/>
  <c r="T173"/>
  <c r="T174"/>
  <c r="T175"/>
  <c r="T176"/>
  <c r="T177"/>
  <c r="T178"/>
  <c r="T179"/>
  <c r="T180"/>
  <c r="T181"/>
  <c r="T182"/>
  <c r="T183"/>
  <c r="T184"/>
  <c r="T185"/>
  <c r="T186"/>
  <c r="T187"/>
  <c r="T188"/>
  <c r="T189"/>
  <c r="T190"/>
  <c r="T191"/>
  <c r="T192"/>
  <c r="T193"/>
  <c r="T194"/>
  <c r="T195"/>
  <c r="T196"/>
  <c r="T197"/>
  <c r="T198"/>
  <c r="T199"/>
  <c r="T200"/>
  <c r="T201"/>
  <c r="T202"/>
  <c r="T203"/>
  <c r="T204"/>
  <c r="T205"/>
  <c r="T206"/>
  <c r="T207"/>
  <c r="T208"/>
  <c r="T209"/>
  <c r="T210"/>
  <c r="T211"/>
  <c r="T212"/>
  <c r="T213"/>
  <c r="T214"/>
  <c r="T215"/>
  <c r="T216"/>
  <c r="T217"/>
  <c r="T218"/>
  <c r="T219"/>
  <c r="T220"/>
  <c r="T221"/>
  <c r="T222"/>
  <c r="T223"/>
  <c r="T224"/>
  <c r="T225"/>
  <c r="T226"/>
  <c r="T227"/>
  <c r="T228"/>
  <c r="T229"/>
  <c r="T230"/>
  <c r="T231"/>
  <c r="T232"/>
  <c r="T233"/>
  <c r="T234"/>
  <c r="T235"/>
  <c r="T236"/>
  <c r="T237"/>
  <c r="T238"/>
  <c r="T239"/>
  <c r="T240"/>
  <c r="T241"/>
  <c r="T242"/>
  <c r="T243"/>
  <c r="T244"/>
  <c r="T245"/>
  <c r="T246"/>
  <c r="T247"/>
  <c r="T248"/>
  <c r="T249"/>
  <c r="T250"/>
  <c r="T251"/>
  <c r="T252"/>
  <c r="T253"/>
  <c r="T254"/>
  <c r="T255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T306"/>
  <c r="T307"/>
  <c r="T308"/>
  <c r="T309"/>
  <c r="T310"/>
  <c r="T311"/>
  <c r="T312"/>
  <c r="T313"/>
  <c r="T314"/>
  <c r="T315"/>
  <c r="T316"/>
  <c r="T317"/>
  <c r="T318"/>
  <c r="T319"/>
  <c r="T320"/>
  <c r="T321"/>
  <c r="T322"/>
  <c r="T323"/>
  <c r="T324"/>
  <c r="T325"/>
  <c r="T326"/>
  <c r="T327"/>
  <c r="T328"/>
  <c r="T329"/>
  <c r="T330"/>
  <c r="T331"/>
  <c r="T332"/>
  <c r="T333"/>
  <c r="T334"/>
  <c r="T335"/>
  <c r="T336"/>
  <c r="T337"/>
  <c r="T338"/>
  <c r="T339"/>
  <c r="T340"/>
  <c r="T341"/>
  <c r="T342"/>
  <c r="T343"/>
  <c r="T344"/>
  <c r="T345"/>
  <c r="T346"/>
  <c r="T347"/>
  <c r="T348"/>
  <c r="T349"/>
  <c r="T350"/>
  <c r="T351"/>
  <c r="T352"/>
  <c r="T353"/>
  <c r="T354"/>
  <c r="T355"/>
  <c r="T356"/>
  <c r="T357"/>
  <c r="T358"/>
  <c r="T359"/>
  <c r="T360"/>
  <c r="T361"/>
  <c r="T362"/>
  <c r="T363"/>
  <c r="T364"/>
  <c r="T365"/>
  <c r="T366"/>
  <c r="T367"/>
  <c r="T368"/>
  <c r="T369"/>
  <c r="T370"/>
  <c r="T371"/>
  <c r="T372"/>
  <c r="T373"/>
  <c r="T374"/>
  <c r="T375"/>
  <c r="T376"/>
  <c r="T377"/>
  <c r="T37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400"/>
  <c r="T401"/>
  <c r="T402"/>
  <c r="T403"/>
  <c r="T404"/>
  <c r="T405"/>
  <c r="T406"/>
  <c r="T407"/>
  <c r="T408"/>
  <c r="T409"/>
  <c r="T410"/>
  <c r="T411"/>
  <c r="T412"/>
  <c r="T413"/>
  <c r="T414"/>
  <c r="T415"/>
  <c r="T416"/>
  <c r="T417"/>
  <c r="T418"/>
  <c r="T419"/>
  <c r="T420"/>
  <c r="T421"/>
  <c r="T422"/>
  <c r="T423"/>
  <c r="T424"/>
  <c r="T425"/>
  <c r="T426"/>
  <c r="T427"/>
  <c r="T428"/>
  <c r="T429"/>
  <c r="T430"/>
  <c r="T431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T462"/>
  <c r="T463"/>
  <c r="T464"/>
  <c r="T465"/>
  <c r="T466"/>
  <c r="T467"/>
  <c r="T468"/>
  <c r="T469"/>
  <c r="T470"/>
  <c r="T471"/>
  <c r="T472"/>
  <c r="T473"/>
  <c r="T474"/>
  <c r="T475"/>
  <c r="T476"/>
  <c r="T477"/>
  <c r="T478"/>
  <c r="T479"/>
  <c r="T480"/>
  <c r="T481"/>
  <c r="T482"/>
  <c r="T483"/>
  <c r="T484"/>
  <c r="T485"/>
  <c r="T486"/>
  <c r="T487"/>
  <c r="T488"/>
  <c r="T489"/>
  <c r="T490"/>
  <c r="T491"/>
  <c r="T492"/>
  <c r="T493"/>
  <c r="T494"/>
  <c r="T495"/>
  <c r="T496"/>
  <c r="T497"/>
  <c r="T498"/>
  <c r="T499"/>
  <c r="T500"/>
  <c r="T501"/>
  <c r="T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99"/>
  <c r="S100"/>
  <c r="S101"/>
  <c r="S102"/>
  <c r="S103"/>
  <c r="S104"/>
  <c r="S105"/>
  <c r="S106"/>
  <c r="S10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30"/>
  <c r="S131"/>
  <c r="S132"/>
  <c r="S133"/>
  <c r="S134"/>
  <c r="S135"/>
  <c r="S136"/>
  <c r="S137"/>
  <c r="S138"/>
  <c r="S139"/>
  <c r="S140"/>
  <c r="S141"/>
  <c r="S142"/>
  <c r="S143"/>
  <c r="S144"/>
  <c r="S145"/>
  <c r="S146"/>
  <c r="S147"/>
  <c r="S148"/>
  <c r="S149"/>
  <c r="S150"/>
  <c r="S151"/>
  <c r="S152"/>
  <c r="S153"/>
  <c r="S154"/>
  <c r="S155"/>
  <c r="S156"/>
  <c r="S157"/>
  <c r="S158"/>
  <c r="S159"/>
  <c r="S160"/>
  <c r="S161"/>
  <c r="S162"/>
  <c r="S163"/>
  <c r="S164"/>
  <c r="S165"/>
  <c r="S166"/>
  <c r="S167"/>
  <c r="S168"/>
  <c r="S169"/>
  <c r="S170"/>
  <c r="S171"/>
  <c r="S172"/>
  <c r="S173"/>
  <c r="S174"/>
  <c r="S175"/>
  <c r="S176"/>
  <c r="S177"/>
  <c r="S178"/>
  <c r="S179"/>
  <c r="S180"/>
  <c r="S181"/>
  <c r="S182"/>
  <c r="S183"/>
  <c r="S184"/>
  <c r="S185"/>
  <c r="S186"/>
  <c r="S187"/>
  <c r="S188"/>
  <c r="S189"/>
  <c r="S190"/>
  <c r="S191"/>
  <c r="S192"/>
  <c r="S193"/>
  <c r="S194"/>
  <c r="S195"/>
  <c r="S196"/>
  <c r="S197"/>
  <c r="S198"/>
  <c r="S199"/>
  <c r="S200"/>
  <c r="S201"/>
  <c r="S202"/>
  <c r="S203"/>
  <c r="S204"/>
  <c r="S205"/>
  <c r="S206"/>
  <c r="S207"/>
  <c r="S208"/>
  <c r="S209"/>
  <c r="S210"/>
  <c r="S211"/>
  <c r="S212"/>
  <c r="S213"/>
  <c r="S214"/>
  <c r="S215"/>
  <c r="S216"/>
  <c r="S217"/>
  <c r="S218"/>
  <c r="S219"/>
  <c r="S220"/>
  <c r="S221"/>
  <c r="S222"/>
  <c r="S223"/>
  <c r="S224"/>
  <c r="S225"/>
  <c r="S226"/>
  <c r="S227"/>
  <c r="S228"/>
  <c r="S229"/>
  <c r="S230"/>
  <c r="S231"/>
  <c r="S232"/>
  <c r="S233"/>
  <c r="S234"/>
  <c r="S235"/>
  <c r="S236"/>
  <c r="S237"/>
  <c r="S238"/>
  <c r="S239"/>
  <c r="S240"/>
  <c r="S241"/>
  <c r="S242"/>
  <c r="S243"/>
  <c r="S244"/>
  <c r="S245"/>
  <c r="S246"/>
  <c r="S247"/>
  <c r="S248"/>
  <c r="S249"/>
  <c r="S250"/>
  <c r="S251"/>
  <c r="S252"/>
  <c r="S253"/>
  <c r="S254"/>
  <c r="S255"/>
  <c r="S256"/>
  <c r="S257"/>
  <c r="S258"/>
  <c r="S259"/>
  <c r="S260"/>
  <c r="S261"/>
  <c r="S262"/>
  <c r="S263"/>
  <c r="S264"/>
  <c r="S265"/>
  <c r="S266"/>
  <c r="S267"/>
  <c r="S268"/>
  <c r="S269"/>
  <c r="S270"/>
  <c r="S271"/>
  <c r="S272"/>
  <c r="S273"/>
  <c r="S274"/>
  <c r="S275"/>
  <c r="S276"/>
  <c r="S277"/>
  <c r="S278"/>
  <c r="S279"/>
  <c r="S280"/>
  <c r="S281"/>
  <c r="S282"/>
  <c r="S283"/>
  <c r="S284"/>
  <c r="S285"/>
  <c r="S286"/>
  <c r="S287"/>
  <c r="S288"/>
  <c r="S289"/>
  <c r="S290"/>
  <c r="S291"/>
  <c r="S292"/>
  <c r="S293"/>
  <c r="S294"/>
  <c r="S295"/>
  <c r="S296"/>
  <c r="S297"/>
  <c r="S298"/>
  <c r="S299"/>
  <c r="S300"/>
  <c r="S301"/>
  <c r="S302"/>
  <c r="S303"/>
  <c r="S304"/>
  <c r="S305"/>
  <c r="S306"/>
  <c r="S307"/>
  <c r="S308"/>
  <c r="S309"/>
  <c r="S310"/>
  <c r="S311"/>
  <c r="S312"/>
  <c r="S313"/>
  <c r="S314"/>
  <c r="S315"/>
  <c r="S316"/>
  <c r="S317"/>
  <c r="S318"/>
  <c r="S319"/>
  <c r="S320"/>
  <c r="S321"/>
  <c r="S322"/>
  <c r="S323"/>
  <c r="S324"/>
  <c r="S325"/>
  <c r="S326"/>
  <c r="S327"/>
  <c r="S328"/>
  <c r="S329"/>
  <c r="S330"/>
  <c r="S331"/>
  <c r="S332"/>
  <c r="S333"/>
  <c r="S334"/>
  <c r="S335"/>
  <c r="S336"/>
  <c r="S337"/>
  <c r="S338"/>
  <c r="S339"/>
  <c r="S340"/>
  <c r="S341"/>
  <c r="S342"/>
  <c r="S343"/>
  <c r="S344"/>
  <c r="S345"/>
  <c r="S346"/>
  <c r="S347"/>
  <c r="S348"/>
  <c r="S349"/>
  <c r="S350"/>
  <c r="S351"/>
  <c r="S352"/>
  <c r="S353"/>
  <c r="S354"/>
  <c r="S355"/>
  <c r="S356"/>
  <c r="S357"/>
  <c r="S358"/>
  <c r="S359"/>
  <c r="S360"/>
  <c r="S361"/>
  <c r="S362"/>
  <c r="S363"/>
  <c r="S364"/>
  <c r="S365"/>
  <c r="S366"/>
  <c r="S367"/>
  <c r="S368"/>
  <c r="S369"/>
  <c r="S370"/>
  <c r="S371"/>
  <c r="S372"/>
  <c r="S373"/>
  <c r="S374"/>
  <c r="S375"/>
  <c r="S376"/>
  <c r="S377"/>
  <c r="S378"/>
  <c r="S379"/>
  <c r="S380"/>
  <c r="S381"/>
  <c r="S382"/>
  <c r="S383"/>
  <c r="S384"/>
  <c r="S385"/>
  <c r="S386"/>
  <c r="S387"/>
  <c r="S388"/>
  <c r="S389"/>
  <c r="S390"/>
  <c r="S391"/>
  <c r="S392"/>
  <c r="S393"/>
  <c r="S394"/>
  <c r="S395"/>
  <c r="S396"/>
  <c r="S397"/>
  <c r="S398"/>
  <c r="S399"/>
  <c r="S400"/>
  <c r="S401"/>
  <c r="S402"/>
  <c r="S403"/>
  <c r="S404"/>
  <c r="S405"/>
  <c r="S406"/>
  <c r="S407"/>
  <c r="S408"/>
  <c r="S409"/>
  <c r="S410"/>
  <c r="S411"/>
  <c r="S412"/>
  <c r="S413"/>
  <c r="S414"/>
  <c r="S415"/>
  <c r="S416"/>
  <c r="S417"/>
  <c r="S418"/>
  <c r="S419"/>
  <c r="S420"/>
  <c r="S421"/>
  <c r="S422"/>
  <c r="S423"/>
  <c r="S424"/>
  <c r="S425"/>
  <c r="S426"/>
  <c r="S427"/>
  <c r="S428"/>
  <c r="S429"/>
  <c r="S430"/>
  <c r="S431"/>
  <c r="S432"/>
  <c r="S433"/>
  <c r="S434"/>
  <c r="S435"/>
  <c r="S436"/>
  <c r="S437"/>
  <c r="S438"/>
  <c r="S439"/>
  <c r="S440"/>
  <c r="S441"/>
  <c r="S442"/>
  <c r="S443"/>
  <c r="S444"/>
  <c r="S445"/>
  <c r="S446"/>
  <c r="S447"/>
  <c r="S448"/>
  <c r="S449"/>
  <c r="S450"/>
  <c r="S451"/>
  <c r="S452"/>
  <c r="S453"/>
  <c r="S454"/>
  <c r="S455"/>
  <c r="S456"/>
  <c r="S457"/>
  <c r="S458"/>
  <c r="S459"/>
  <c r="S460"/>
  <c r="S461"/>
  <c r="S462"/>
  <c r="S463"/>
  <c r="S464"/>
  <c r="S465"/>
  <c r="S466"/>
  <c r="S467"/>
  <c r="S468"/>
  <c r="S469"/>
  <c r="S470"/>
  <c r="S471"/>
  <c r="S472"/>
  <c r="S473"/>
  <c r="S474"/>
  <c r="S475"/>
  <c r="S476"/>
  <c r="S477"/>
  <c r="S478"/>
  <c r="S479"/>
  <c r="S480"/>
  <c r="S481"/>
  <c r="S482"/>
  <c r="S483"/>
  <c r="S484"/>
  <c r="S485"/>
  <c r="S486"/>
  <c r="S487"/>
  <c r="S488"/>
  <c r="S489"/>
  <c r="S490"/>
  <c r="S491"/>
  <c r="S492"/>
  <c r="S493"/>
  <c r="S494"/>
  <c r="S495"/>
  <c r="S496"/>
  <c r="S497"/>
  <c r="S498"/>
  <c r="S499"/>
  <c r="S500"/>
  <c r="S501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R153"/>
  <c r="R154"/>
  <c r="R155"/>
  <c r="R156"/>
  <c r="R157"/>
  <c r="R158"/>
  <c r="R159"/>
  <c r="R160"/>
  <c r="R161"/>
  <c r="R162"/>
  <c r="R163"/>
  <c r="R164"/>
  <c r="R165"/>
  <c r="R166"/>
  <c r="R167"/>
  <c r="R168"/>
  <c r="R169"/>
  <c r="R170"/>
  <c r="R171"/>
  <c r="R172"/>
  <c r="R173"/>
  <c r="R174"/>
  <c r="R175"/>
  <c r="R176"/>
  <c r="R177"/>
  <c r="R178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6"/>
  <c r="R197"/>
  <c r="R198"/>
  <c r="R199"/>
  <c r="R200"/>
  <c r="R201"/>
  <c r="R202"/>
  <c r="R203"/>
  <c r="R204"/>
  <c r="R205"/>
  <c r="R206"/>
  <c r="R207"/>
  <c r="R208"/>
  <c r="R209"/>
  <c r="R210"/>
  <c r="R211"/>
  <c r="R212"/>
  <c r="R213"/>
  <c r="R214"/>
  <c r="R215"/>
  <c r="R216"/>
  <c r="R217"/>
  <c r="R218"/>
  <c r="R219"/>
  <c r="R220"/>
  <c r="R221"/>
  <c r="R222"/>
  <c r="R223"/>
  <c r="R224"/>
  <c r="R225"/>
  <c r="R226"/>
  <c r="R227"/>
  <c r="R228"/>
  <c r="R229"/>
  <c r="R230"/>
  <c r="R231"/>
  <c r="R232"/>
  <c r="R233"/>
  <c r="R234"/>
  <c r="R235"/>
  <c r="R236"/>
  <c r="R237"/>
  <c r="R238"/>
  <c r="R239"/>
  <c r="R240"/>
  <c r="R241"/>
  <c r="R242"/>
  <c r="R243"/>
  <c r="R244"/>
  <c r="R245"/>
  <c r="R246"/>
  <c r="R247"/>
  <c r="R248"/>
  <c r="R249"/>
  <c r="R250"/>
  <c r="R25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R462"/>
  <c r="R463"/>
  <c r="R464"/>
  <c r="R465"/>
  <c r="R466"/>
  <c r="R467"/>
  <c r="R468"/>
  <c r="R469"/>
  <c r="R470"/>
  <c r="R471"/>
  <c r="R472"/>
  <c r="R473"/>
  <c r="R474"/>
  <c r="R475"/>
  <c r="R476"/>
  <c r="R477"/>
  <c r="R478"/>
  <c r="R479"/>
  <c r="R480"/>
  <c r="R481"/>
  <c r="R482"/>
  <c r="R483"/>
  <c r="R484"/>
  <c r="R485"/>
  <c r="R486"/>
  <c r="R487"/>
  <c r="R488"/>
  <c r="R489"/>
  <c r="R490"/>
  <c r="R491"/>
  <c r="R492"/>
  <c r="R493"/>
  <c r="R494"/>
  <c r="R495"/>
  <c r="R496"/>
  <c r="R497"/>
  <c r="R498"/>
  <c r="R499"/>
  <c r="R500"/>
  <c r="R501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86"/>
  <c r="Q87"/>
  <c r="Q88"/>
  <c r="Q89"/>
  <c r="Q90"/>
  <c r="Q91"/>
  <c r="Q92"/>
  <c r="Q93"/>
  <c r="Q94"/>
  <c r="Q95"/>
  <c r="Q96"/>
  <c r="Q97"/>
  <c r="Q98"/>
  <c r="Q99"/>
  <c r="Q100"/>
  <c r="Q101"/>
  <c r="Q102"/>
  <c r="Q103"/>
  <c r="Q104"/>
  <c r="Q105"/>
  <c r="Q106"/>
  <c r="Q107"/>
  <c r="Q108"/>
  <c r="Q109"/>
  <c r="Q110"/>
  <c r="Q111"/>
  <c r="Q112"/>
  <c r="Q113"/>
  <c r="Q114"/>
  <c r="Q115"/>
  <c r="Q116"/>
  <c r="Q117"/>
  <c r="Q118"/>
  <c r="Q119"/>
  <c r="Q120"/>
  <c r="Q121"/>
  <c r="Q122"/>
  <c r="Q123"/>
  <c r="Q124"/>
  <c r="Q125"/>
  <c r="Q126"/>
  <c r="Q127"/>
  <c r="Q128"/>
  <c r="Q129"/>
  <c r="Q130"/>
  <c r="Q131"/>
  <c r="Q132"/>
  <c r="Q133"/>
  <c r="Q134"/>
  <c r="Q135"/>
  <c r="Q136"/>
  <c r="Q137"/>
  <c r="Q138"/>
  <c r="Q139"/>
  <c r="Q140"/>
  <c r="Q141"/>
  <c r="Q142"/>
  <c r="Q143"/>
  <c r="Q144"/>
  <c r="Q145"/>
  <c r="Q146"/>
  <c r="Q147"/>
  <c r="Q148"/>
  <c r="Q149"/>
  <c r="Q150"/>
  <c r="Q151"/>
  <c r="Q152"/>
  <c r="Q153"/>
  <c r="Q154"/>
  <c r="Q155"/>
  <c r="Q156"/>
  <c r="Q157"/>
  <c r="Q158"/>
  <c r="Q159"/>
  <c r="Q160"/>
  <c r="Q161"/>
  <c r="Q162"/>
  <c r="Q163"/>
  <c r="Q164"/>
  <c r="Q165"/>
  <c r="Q166"/>
  <c r="Q167"/>
  <c r="Q168"/>
  <c r="Q169"/>
  <c r="Q170"/>
  <c r="Q171"/>
  <c r="Q172"/>
  <c r="Q173"/>
  <c r="Q174"/>
  <c r="Q175"/>
  <c r="Q176"/>
  <c r="Q177"/>
  <c r="Q178"/>
  <c r="Q179"/>
  <c r="Q180"/>
  <c r="Q181"/>
  <c r="Q182"/>
  <c r="Q183"/>
  <c r="Q184"/>
  <c r="Q185"/>
  <c r="Q186"/>
  <c r="Q187"/>
  <c r="Q188"/>
  <c r="Q189"/>
  <c r="Q190"/>
  <c r="Q191"/>
  <c r="Q192"/>
  <c r="Q193"/>
  <c r="Q194"/>
  <c r="Q195"/>
  <c r="Q196"/>
  <c r="Q197"/>
  <c r="Q198"/>
  <c r="Q199"/>
  <c r="Q200"/>
  <c r="Q201"/>
  <c r="Q202"/>
  <c r="Q203"/>
  <c r="Q204"/>
  <c r="Q205"/>
  <c r="Q206"/>
  <c r="Q207"/>
  <c r="Q208"/>
  <c r="Q209"/>
  <c r="Q210"/>
  <c r="Q211"/>
  <c r="Q212"/>
  <c r="Q213"/>
  <c r="Q214"/>
  <c r="Q215"/>
  <c r="Q216"/>
  <c r="Q217"/>
  <c r="Q218"/>
  <c r="Q219"/>
  <c r="Q220"/>
  <c r="Q221"/>
  <c r="Q222"/>
  <c r="Q223"/>
  <c r="Q224"/>
  <c r="Q225"/>
  <c r="Q226"/>
  <c r="Q227"/>
  <c r="Q228"/>
  <c r="Q229"/>
  <c r="Q230"/>
  <c r="Q231"/>
  <c r="Q232"/>
  <c r="Q233"/>
  <c r="Q234"/>
  <c r="Q235"/>
  <c r="Q236"/>
  <c r="Q237"/>
  <c r="Q238"/>
  <c r="Q239"/>
  <c r="Q240"/>
  <c r="Q241"/>
  <c r="Q242"/>
  <c r="Q243"/>
  <c r="Q244"/>
  <c r="Q245"/>
  <c r="Q246"/>
  <c r="Q247"/>
  <c r="Q248"/>
  <c r="Q249"/>
  <c r="Q250"/>
  <c r="Q251"/>
  <c r="Q252"/>
  <c r="Q253"/>
  <c r="Q254"/>
  <c r="Q255"/>
  <c r="Q256"/>
  <c r="Q257"/>
  <c r="Q258"/>
  <c r="Q259"/>
  <c r="Q260"/>
  <c r="Q261"/>
  <c r="Q262"/>
  <c r="Q263"/>
  <c r="Q264"/>
  <c r="Q265"/>
  <c r="Q266"/>
  <c r="Q267"/>
  <c r="Q268"/>
  <c r="Q269"/>
  <c r="Q270"/>
  <c r="Q271"/>
  <c r="Q272"/>
  <c r="Q273"/>
  <c r="Q274"/>
  <c r="Q275"/>
  <c r="Q276"/>
  <c r="Q277"/>
  <c r="Q278"/>
  <c r="Q279"/>
  <c r="Q280"/>
  <c r="Q281"/>
  <c r="Q282"/>
  <c r="Q283"/>
  <c r="Q284"/>
  <c r="Q285"/>
  <c r="Q286"/>
  <c r="Q287"/>
  <c r="Q288"/>
  <c r="Q289"/>
  <c r="Q290"/>
  <c r="Q291"/>
  <c r="Q292"/>
  <c r="Q293"/>
  <c r="Q294"/>
  <c r="Q295"/>
  <c r="Q296"/>
  <c r="Q297"/>
  <c r="Q298"/>
  <c r="Q299"/>
  <c r="Q300"/>
  <c r="Q301"/>
  <c r="Q302"/>
  <c r="Q303"/>
  <c r="Q304"/>
  <c r="Q305"/>
  <c r="Q306"/>
  <c r="Q307"/>
  <c r="Q308"/>
  <c r="Q309"/>
  <c r="Q310"/>
  <c r="Q311"/>
  <c r="Q312"/>
  <c r="Q313"/>
  <c r="Q314"/>
  <c r="Q315"/>
  <c r="Q316"/>
  <c r="Q317"/>
  <c r="Q318"/>
  <c r="Q319"/>
  <c r="Q320"/>
  <c r="Q321"/>
  <c r="Q322"/>
  <c r="Q323"/>
  <c r="Q324"/>
  <c r="Q325"/>
  <c r="Q326"/>
  <c r="Q327"/>
  <c r="Q328"/>
  <c r="Q329"/>
  <c r="Q330"/>
  <c r="Q331"/>
  <c r="Q332"/>
  <c r="Q333"/>
  <c r="Q334"/>
  <c r="Q335"/>
  <c r="Q336"/>
  <c r="Q337"/>
  <c r="Q338"/>
  <c r="Q339"/>
  <c r="Q340"/>
  <c r="Q341"/>
  <c r="Q342"/>
  <c r="Q343"/>
  <c r="Q344"/>
  <c r="Q345"/>
  <c r="Q346"/>
  <c r="Q347"/>
  <c r="Q348"/>
  <c r="Q349"/>
  <c r="Q350"/>
  <c r="Q351"/>
  <c r="Q352"/>
  <c r="Q353"/>
  <c r="Q354"/>
  <c r="Q355"/>
  <c r="Q356"/>
  <c r="Q357"/>
  <c r="Q358"/>
  <c r="Q359"/>
  <c r="Q360"/>
  <c r="Q361"/>
  <c r="Q362"/>
  <c r="Q363"/>
  <c r="Q364"/>
  <c r="Q365"/>
  <c r="Q366"/>
  <c r="Q367"/>
  <c r="Q368"/>
  <c r="Q369"/>
  <c r="Q370"/>
  <c r="Q371"/>
  <c r="Q372"/>
  <c r="Q373"/>
  <c r="Q374"/>
  <c r="Q375"/>
  <c r="Q376"/>
  <c r="Q377"/>
  <c r="Q378"/>
  <c r="Q379"/>
  <c r="Q380"/>
  <c r="Q381"/>
  <c r="Q382"/>
  <c r="Q383"/>
  <c r="Q384"/>
  <c r="Q385"/>
  <c r="Q386"/>
  <c r="Q387"/>
  <c r="Q388"/>
  <c r="Q389"/>
  <c r="Q390"/>
  <c r="Q391"/>
  <c r="Q392"/>
  <c r="Q393"/>
  <c r="Q394"/>
  <c r="Q395"/>
  <c r="Q396"/>
  <c r="Q397"/>
  <c r="Q398"/>
  <c r="Q399"/>
  <c r="Q400"/>
  <c r="Q401"/>
  <c r="Q402"/>
  <c r="Q403"/>
  <c r="Q404"/>
  <c r="Q405"/>
  <c r="Q406"/>
  <c r="Q407"/>
  <c r="Q408"/>
  <c r="Q409"/>
  <c r="Q410"/>
  <c r="Q411"/>
  <c r="Q412"/>
  <c r="Q413"/>
  <c r="Q414"/>
  <c r="Q415"/>
  <c r="Q416"/>
  <c r="Q417"/>
  <c r="Q418"/>
  <c r="Q419"/>
  <c r="Q420"/>
  <c r="Q421"/>
  <c r="Q422"/>
  <c r="Q423"/>
  <c r="Q424"/>
  <c r="Q425"/>
  <c r="Q426"/>
  <c r="Q427"/>
  <c r="Q428"/>
  <c r="Q429"/>
  <c r="Q430"/>
  <c r="Q431"/>
  <c r="Q432"/>
  <c r="Q433"/>
  <c r="Q434"/>
  <c r="Q435"/>
  <c r="Q436"/>
  <c r="Q437"/>
  <c r="Q438"/>
  <c r="Q439"/>
  <c r="Q440"/>
  <c r="Q441"/>
  <c r="Q442"/>
  <c r="Q443"/>
  <c r="Q444"/>
  <c r="Q445"/>
  <c r="Q446"/>
  <c r="Q447"/>
  <c r="Q448"/>
  <c r="Q449"/>
  <c r="Q450"/>
  <c r="Q451"/>
  <c r="Q452"/>
  <c r="Q453"/>
  <c r="Q454"/>
  <c r="Q455"/>
  <c r="Q456"/>
  <c r="Q457"/>
  <c r="Q458"/>
  <c r="Q459"/>
  <c r="Q460"/>
  <c r="Q461"/>
  <c r="Q462"/>
  <c r="Q463"/>
  <c r="Q464"/>
  <c r="Q465"/>
  <c r="Q466"/>
  <c r="Q467"/>
  <c r="Q468"/>
  <c r="Q469"/>
  <c r="Q470"/>
  <c r="Q471"/>
  <c r="Q472"/>
  <c r="Q473"/>
  <c r="Q474"/>
  <c r="Q475"/>
  <c r="Q476"/>
  <c r="Q477"/>
  <c r="Q478"/>
  <c r="Q479"/>
  <c r="Q480"/>
  <c r="Q481"/>
  <c r="Q482"/>
  <c r="Q483"/>
  <c r="Q484"/>
  <c r="Q485"/>
  <c r="Q486"/>
  <c r="Q487"/>
  <c r="Q488"/>
  <c r="Q489"/>
  <c r="Q490"/>
  <c r="Q491"/>
  <c r="Q492"/>
  <c r="Q493"/>
  <c r="Q494"/>
  <c r="Q495"/>
  <c r="Q496"/>
  <c r="Q497"/>
  <c r="Q498"/>
  <c r="Q499"/>
  <c r="Q500"/>
  <c r="Q501"/>
  <c r="Q2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3"/>
  <c r="P294"/>
  <c r="P295"/>
  <c r="P296"/>
  <c r="P297"/>
  <c r="P298"/>
  <c r="P299"/>
  <c r="P300"/>
  <c r="P301"/>
  <c r="P302"/>
  <c r="P303"/>
  <c r="P304"/>
  <c r="P305"/>
  <c r="P306"/>
  <c r="P307"/>
  <c r="P308"/>
  <c r="P309"/>
  <c r="P310"/>
  <c r="P311"/>
  <c r="P312"/>
  <c r="P313"/>
  <c r="P314"/>
  <c r="P315"/>
  <c r="P316"/>
  <c r="P317"/>
  <c r="P318"/>
  <c r="P319"/>
  <c r="P320"/>
  <c r="P321"/>
  <c r="P322"/>
  <c r="P323"/>
  <c r="P324"/>
  <c r="P325"/>
  <c r="P326"/>
  <c r="P327"/>
  <c r="P328"/>
  <c r="P329"/>
  <c r="P330"/>
  <c r="P331"/>
  <c r="P332"/>
  <c r="P333"/>
  <c r="P334"/>
  <c r="P335"/>
  <c r="P336"/>
  <c r="P337"/>
  <c r="P338"/>
  <c r="P339"/>
  <c r="P340"/>
  <c r="P341"/>
  <c r="P342"/>
  <c r="P343"/>
  <c r="P344"/>
  <c r="P345"/>
  <c r="P346"/>
  <c r="P347"/>
  <c r="P348"/>
  <c r="P349"/>
  <c r="P350"/>
  <c r="P351"/>
  <c r="P352"/>
  <c r="P353"/>
  <c r="P354"/>
  <c r="P355"/>
  <c r="P356"/>
  <c r="P357"/>
  <c r="P358"/>
  <c r="P359"/>
  <c r="P360"/>
  <c r="P361"/>
  <c r="P362"/>
  <c r="P363"/>
  <c r="P364"/>
  <c r="P365"/>
  <c r="P366"/>
  <c r="P367"/>
  <c r="P368"/>
  <c r="P369"/>
  <c r="P370"/>
  <c r="P371"/>
  <c r="P372"/>
  <c r="P373"/>
  <c r="P374"/>
  <c r="P375"/>
  <c r="P376"/>
  <c r="P377"/>
  <c r="P378"/>
  <c r="P379"/>
  <c r="P380"/>
  <c r="P381"/>
  <c r="P382"/>
  <c r="P383"/>
  <c r="P384"/>
  <c r="P385"/>
  <c r="P386"/>
  <c r="P387"/>
  <c r="P388"/>
  <c r="P389"/>
  <c r="P390"/>
  <c r="P391"/>
  <c r="P392"/>
  <c r="P393"/>
  <c r="P394"/>
  <c r="P395"/>
  <c r="P396"/>
  <c r="P397"/>
  <c r="P398"/>
  <c r="P399"/>
  <c r="P400"/>
  <c r="P401"/>
  <c r="P402"/>
  <c r="P403"/>
  <c r="P404"/>
  <c r="P405"/>
  <c r="P406"/>
  <c r="P407"/>
  <c r="P408"/>
  <c r="P409"/>
  <c r="P410"/>
  <c r="P411"/>
  <c r="P412"/>
  <c r="P413"/>
  <c r="P414"/>
  <c r="P415"/>
  <c r="P416"/>
  <c r="P417"/>
  <c r="P418"/>
  <c r="P419"/>
  <c r="P420"/>
  <c r="P421"/>
  <c r="P422"/>
  <c r="P423"/>
  <c r="P424"/>
  <c r="P425"/>
  <c r="P426"/>
  <c r="P427"/>
  <c r="P428"/>
  <c r="P429"/>
  <c r="P430"/>
  <c r="P431"/>
  <c r="P432"/>
  <c r="P433"/>
  <c r="P434"/>
  <c r="P435"/>
  <c r="P436"/>
  <c r="P437"/>
  <c r="P438"/>
  <c r="P439"/>
  <c r="P440"/>
  <c r="P441"/>
  <c r="P442"/>
  <c r="P443"/>
  <c r="P444"/>
  <c r="P445"/>
  <c r="P446"/>
  <c r="P447"/>
  <c r="P448"/>
  <c r="P449"/>
  <c r="P450"/>
  <c r="P451"/>
  <c r="P452"/>
  <c r="P453"/>
  <c r="P454"/>
  <c r="P455"/>
  <c r="P456"/>
  <c r="P457"/>
  <c r="P458"/>
  <c r="P459"/>
  <c r="P460"/>
  <c r="P461"/>
  <c r="P462"/>
  <c r="P463"/>
  <c r="P464"/>
  <c r="P465"/>
  <c r="P466"/>
  <c r="P467"/>
  <c r="P468"/>
  <c r="P469"/>
  <c r="P470"/>
  <c r="P471"/>
  <c r="P472"/>
  <c r="P473"/>
  <c r="P474"/>
  <c r="P475"/>
  <c r="P476"/>
  <c r="P477"/>
  <c r="P478"/>
  <c r="P479"/>
  <c r="P480"/>
  <c r="P481"/>
  <c r="P482"/>
  <c r="P483"/>
  <c r="P484"/>
  <c r="P485"/>
  <c r="P486"/>
  <c r="P487"/>
  <c r="P488"/>
  <c r="P489"/>
  <c r="P490"/>
  <c r="P491"/>
  <c r="P492"/>
  <c r="P493"/>
  <c r="P494"/>
  <c r="P495"/>
  <c r="P496"/>
  <c r="P497"/>
  <c r="P498"/>
  <c r="P499"/>
  <c r="P500"/>
  <c r="P501"/>
  <c r="P2"/>
  <c r="O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2"/>
</calcChain>
</file>

<file path=xl/sharedStrings.xml><?xml version="1.0" encoding="utf-8"?>
<sst xmlns="http://schemas.openxmlformats.org/spreadsheetml/2006/main" count="3701" uniqueCount="654">
  <si>
    <t>Order_ID</t>
  </si>
  <si>
    <t>Order_Date</t>
  </si>
  <si>
    <t>Customer_ID</t>
  </si>
  <si>
    <t>Service_Name</t>
  </si>
  <si>
    <t>Service_Category</t>
  </si>
  <si>
    <t>Quantity</t>
  </si>
  <si>
    <t>Sales_INR</t>
  </si>
  <si>
    <t>Cost_INR</t>
  </si>
  <si>
    <t>Profit_INR</t>
  </si>
  <si>
    <t>Discount_Percent</t>
  </si>
  <si>
    <t>Order_Status</t>
  </si>
  <si>
    <t>Salesperson</t>
  </si>
  <si>
    <t>Payment_Mode</t>
  </si>
  <si>
    <t>Contract_Months</t>
  </si>
  <si>
    <t>ORD1001</t>
  </si>
  <si>
    <t>C009</t>
  </si>
  <si>
    <t>Penetration Testing</t>
  </si>
  <si>
    <t>Security Services</t>
  </si>
  <si>
    <t>Cancelled</t>
  </si>
  <si>
    <t>Priya Nair</t>
  </si>
  <si>
    <t>Net Banking</t>
  </si>
  <si>
    <t>ORD1002</t>
  </si>
  <si>
    <t>C001</t>
  </si>
  <si>
    <t>AWS Management Package</t>
  </si>
  <si>
    <t>Cloud Services</t>
  </si>
  <si>
    <t>In Progress</t>
  </si>
  <si>
    <t>Pooja Singh</t>
  </si>
  <si>
    <t>Bank Transfer</t>
  </si>
  <si>
    <t>ORD1003</t>
  </si>
  <si>
    <t>C014</t>
  </si>
  <si>
    <t>Completed</t>
  </si>
  <si>
    <t>Rohit Sharma</t>
  </si>
  <si>
    <t>Credit Card</t>
  </si>
  <si>
    <t>ORD1004</t>
  </si>
  <si>
    <t>C025</t>
  </si>
  <si>
    <t>Business Intelligence Report</t>
  </si>
  <si>
    <t>Analytics</t>
  </si>
  <si>
    <t>Cheque</t>
  </si>
  <si>
    <t>ORD1005</t>
  </si>
  <si>
    <t>C024</t>
  </si>
  <si>
    <t>IT Support &amp; Maintenance</t>
  </si>
  <si>
    <t>IT Support</t>
  </si>
  <si>
    <t>ORD1006</t>
  </si>
  <si>
    <t>C028</t>
  </si>
  <si>
    <t>AI/ML Model Development</t>
  </si>
  <si>
    <t>AI &amp; Automation</t>
  </si>
  <si>
    <t>ORD1007</t>
  </si>
  <si>
    <t>Sunita Pillai</t>
  </si>
  <si>
    <t>ORD1008</t>
  </si>
  <si>
    <t>C022</t>
  </si>
  <si>
    <t>Firewall &amp; Network Security</t>
  </si>
  <si>
    <t>Amit Verma</t>
  </si>
  <si>
    <t>ORD1009</t>
  </si>
  <si>
    <t>Mobile App Development</t>
  </si>
  <si>
    <t>Development</t>
  </si>
  <si>
    <t>ORD1010</t>
  </si>
  <si>
    <t>C003</t>
  </si>
  <si>
    <t>Cybersecurity Audit</t>
  </si>
  <si>
    <t>Deepa Iyer</t>
  </si>
  <si>
    <t>UPI</t>
  </si>
  <si>
    <t>ORD1011</t>
  </si>
  <si>
    <t>ERP Implementation</t>
  </si>
  <si>
    <t>Software License</t>
  </si>
  <si>
    <t>Arjun Mehta</t>
  </si>
  <si>
    <t>ORD1012</t>
  </si>
  <si>
    <t>C008</t>
  </si>
  <si>
    <t>ORD1013</t>
  </si>
  <si>
    <t>API Integration Service</t>
  </si>
  <si>
    <t>ORD1014</t>
  </si>
  <si>
    <t>Enterprise CRM Software</t>
  </si>
  <si>
    <t>Kavita Joshi</t>
  </si>
  <si>
    <t>ORD1015</t>
  </si>
  <si>
    <t>ORD1016</t>
  </si>
  <si>
    <t>C007</t>
  </si>
  <si>
    <t>ORD1017</t>
  </si>
  <si>
    <t>ORD1018</t>
  </si>
  <si>
    <t>Annual AMC Contract</t>
  </si>
  <si>
    <t>ORD1019</t>
  </si>
  <si>
    <t>ORD1020</t>
  </si>
  <si>
    <t>C015</t>
  </si>
  <si>
    <t>Network Setup &amp; Config</t>
  </si>
  <si>
    <t>ORD1021</t>
  </si>
  <si>
    <t>Web Portal Development</t>
  </si>
  <si>
    <t>ORD1022</t>
  </si>
  <si>
    <t>ORD1023</t>
  </si>
  <si>
    <t>ORD1024</t>
  </si>
  <si>
    <t>Cloud Migration Service</t>
  </si>
  <si>
    <t>ORD1025</t>
  </si>
  <si>
    <t>C005</t>
  </si>
  <si>
    <t>RPA Implementation</t>
  </si>
  <si>
    <t>ORD1026</t>
  </si>
  <si>
    <t>C018</t>
  </si>
  <si>
    <t>Cloud Infrastructure Setup</t>
  </si>
  <si>
    <t>ORD1027</t>
  </si>
  <si>
    <t>C029</t>
  </si>
  <si>
    <t>Nikhil Gupta</t>
  </si>
  <si>
    <t>ORD1028</t>
  </si>
  <si>
    <t>Sandeep Rao</t>
  </si>
  <si>
    <t>ORD1029</t>
  </si>
  <si>
    <t>C002</t>
  </si>
  <si>
    <t>ORD1030</t>
  </si>
  <si>
    <t>HR Management System</t>
  </si>
  <si>
    <t>ORD1031</t>
  </si>
  <si>
    <t>ORD1032</t>
  </si>
  <si>
    <t>C011</t>
  </si>
  <si>
    <t>ORD1033</t>
  </si>
  <si>
    <t>C019</t>
  </si>
  <si>
    <t>ORD1034</t>
  </si>
  <si>
    <t>ORD1035</t>
  </si>
  <si>
    <t>C026</t>
  </si>
  <si>
    <t>ORD1036</t>
  </si>
  <si>
    <t>ORD1037</t>
  </si>
  <si>
    <t>ORD1038</t>
  </si>
  <si>
    <t>ORD1039</t>
  </si>
  <si>
    <t>ORD1040</t>
  </si>
  <si>
    <t>C012</t>
  </si>
  <si>
    <t>ORD1041</t>
  </si>
  <si>
    <t>ORD1042</t>
  </si>
  <si>
    <t>ORD1043</t>
  </si>
  <si>
    <t>Data Analytics Dashboard</t>
  </si>
  <si>
    <t>ORD1044</t>
  </si>
  <si>
    <t>ORD1045</t>
  </si>
  <si>
    <t>C006</t>
  </si>
  <si>
    <t>ORD1046</t>
  </si>
  <si>
    <t>C017</t>
  </si>
  <si>
    <t>ORD1047</t>
  </si>
  <si>
    <t>ORD1048</t>
  </si>
  <si>
    <t>ORD1049</t>
  </si>
  <si>
    <t>ORD1050</t>
  </si>
  <si>
    <t>ORD1051</t>
  </si>
  <si>
    <t>ORD1052</t>
  </si>
  <si>
    <t>C020</t>
  </si>
  <si>
    <t>ORD1053</t>
  </si>
  <si>
    <t>C016</t>
  </si>
  <si>
    <t>ORD1054</t>
  </si>
  <si>
    <t>ORD1055</t>
  </si>
  <si>
    <t>C030</t>
  </si>
  <si>
    <t>ORD1056</t>
  </si>
  <si>
    <t>ORD1057</t>
  </si>
  <si>
    <t>C027</t>
  </si>
  <si>
    <t>ORD1058</t>
  </si>
  <si>
    <t>ORD1059</t>
  </si>
  <si>
    <t>ORD1060</t>
  </si>
  <si>
    <t>C013</t>
  </si>
  <si>
    <t>ORD1061</t>
  </si>
  <si>
    <t>ORD1062</t>
  </si>
  <si>
    <t>ORD1063</t>
  </si>
  <si>
    <t>ORD1064</t>
  </si>
  <si>
    <t>ORD1065</t>
  </si>
  <si>
    <t>ORD1066</t>
  </si>
  <si>
    <t>ORD1067</t>
  </si>
  <si>
    <t>C004</t>
  </si>
  <si>
    <t>ORD1068</t>
  </si>
  <si>
    <t>ORD1069</t>
  </si>
  <si>
    <t>Chatbot Development</t>
  </si>
  <si>
    <t>ORD1070</t>
  </si>
  <si>
    <t>ORD1071</t>
  </si>
  <si>
    <t>ORD1072</t>
  </si>
  <si>
    <t>C021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</si>
  <si>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</si>
  <si>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</si>
  <si>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</si>
  <si>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</si>
  <si>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</si>
  <si>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</si>
  <si>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</si>
  <si>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</si>
  <si>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C023</t>
  </si>
  <si>
    <t>ORD1081</t>
  </si>
  <si>
    <t>ORD1082</t>
  </si>
  <si>
    <t>ORD1083</t>
  </si>
  <si>
    <t>ORD1084</t>
  </si>
  <si>
    <t>ORD1085</t>
  </si>
  <si>
    <t>C010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</si>
  <si>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</si>
  <si>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</si>
  <si>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</si>
  <si>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</si>
  <si>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</si>
  <si>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</si>
  <si>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</si>
  <si>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</si>
  <si>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</si>
  <si>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</si>
  <si>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</si>
  <si>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</si>
  <si>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</si>
  <si>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</si>
  <si>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</si>
  <si>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</si>
  <si>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</si>
  <si>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</si>
  <si>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</si>
  <si>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</si>
  <si>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</si>
  <si>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</si>
  <si>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</si>
  <si>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</si>
  <si>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</si>
  <si>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</si>
  <si>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</si>
  <si>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</si>
  <si>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</si>
  <si>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</si>
  <si>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</si>
  <si>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</si>
  <si>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</si>
  <si>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</si>
  <si>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</si>
  <si>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</si>
  <si>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</si>
  <si>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</si>
  <si>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</si>
  <si>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</si>
  <si>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</si>
  <si>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</si>
  <si>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</si>
  <si>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</si>
  <si>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</si>
  <si>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</si>
  <si>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</si>
  <si>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</si>
  <si>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</si>
  <si>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</si>
  <si>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</si>
  <si>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</si>
  <si>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</si>
  <si>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</si>
  <si>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</si>
  <si>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</si>
  <si>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</si>
  <si>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</si>
  <si>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</si>
  <si>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</si>
  <si>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</si>
  <si>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</si>
  <si>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</si>
  <si>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</si>
  <si>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</si>
  <si>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</si>
  <si>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</si>
  <si>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</si>
  <si>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</si>
  <si>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</si>
  <si>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</si>
  <si>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</si>
  <si>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</si>
  <si>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</si>
  <si>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</si>
  <si>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</si>
  <si>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</si>
  <si>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</si>
  <si>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</si>
  <si>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</si>
  <si>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</si>
  <si>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</si>
  <si>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</si>
  <si>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</si>
  <si>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</si>
  <si>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</si>
  <si>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</si>
  <si>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</si>
  <si>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</si>
  <si>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</si>
  <si>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</si>
  <si>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</si>
  <si>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</si>
  <si>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</si>
  <si>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</si>
  <si>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</si>
  <si>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</si>
  <si>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</si>
  <si>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</si>
  <si>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</si>
  <si>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</si>
  <si>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</si>
  <si>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</si>
  <si>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</si>
  <si>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</si>
  <si>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</si>
  <si>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</si>
  <si>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</si>
  <si>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</si>
  <si>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</si>
  <si>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</si>
  <si>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</si>
  <si>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</si>
  <si>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</si>
  <si>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</si>
  <si>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</si>
  <si>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</si>
  <si>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</si>
  <si>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</si>
  <si>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</si>
  <si>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</si>
  <si>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</si>
  <si>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</si>
  <si>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</si>
  <si>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</si>
  <si>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</si>
  <si>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</si>
  <si>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</si>
  <si>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</si>
  <si>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</si>
  <si>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</si>
  <si>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</si>
  <si>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</si>
  <si>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</si>
  <si>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</si>
  <si>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</si>
  <si>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</si>
  <si>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</si>
  <si>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</si>
  <si>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</si>
  <si>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</si>
  <si>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</si>
  <si>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</si>
  <si>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</si>
  <si>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</si>
  <si>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</si>
  <si>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</si>
  <si>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</si>
  <si>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</si>
  <si>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</si>
  <si>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</si>
  <si>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</si>
  <si>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</si>
  <si>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</si>
  <si>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</si>
  <si>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</si>
  <si>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</si>
  <si>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</si>
  <si>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</si>
  <si>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</si>
  <si>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</si>
  <si>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</si>
  <si>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</si>
  <si>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</si>
  <si>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</si>
  <si>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</si>
  <si>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</si>
  <si>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</si>
  <si>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</si>
  <si>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</si>
  <si>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</si>
  <si>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</si>
  <si>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</si>
  <si>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</si>
  <si>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</si>
  <si>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</si>
  <si>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</si>
  <si>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</si>
  <si>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</si>
  <si>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</si>
  <si>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</si>
  <si>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</si>
  <si>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</si>
  <si>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</si>
  <si>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</si>
  <si>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</si>
  <si>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</si>
  <si>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</si>
  <si>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</si>
  <si>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</si>
  <si>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</si>
  <si>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</si>
  <si>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</si>
  <si>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</si>
  <si>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</si>
  <si>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</si>
  <si>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</si>
  <si>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</si>
  <si>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</si>
  <si>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</si>
  <si>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</si>
  <si>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</si>
  <si>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</si>
  <si>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</si>
  <si>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</si>
  <si>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</si>
  <si>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</si>
  <si>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</si>
  <si>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</si>
  <si>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</si>
  <si>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</si>
  <si>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</si>
  <si>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</si>
  <si>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</si>
  <si>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</si>
  <si>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</si>
  <si>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</si>
  <si>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</si>
  <si>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</si>
  <si>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</si>
  <si>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</si>
  <si>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</si>
  <si>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</si>
  <si>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</si>
  <si>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</si>
  <si>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</si>
  <si>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</si>
  <si>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</si>
  <si>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</si>
  <si>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</si>
  <si>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</si>
  <si>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</si>
  <si>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</si>
  <si>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</si>
  <si>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</si>
  <si>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</si>
  <si>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</si>
  <si>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</si>
  <si>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</si>
  <si>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</si>
  <si>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</si>
  <si>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</si>
  <si>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</si>
  <si>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</si>
  <si>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</si>
  <si>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</si>
  <si>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</si>
  <si>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</si>
  <si>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</si>
  <si>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</si>
  <si>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</si>
  <si>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</si>
  <si>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</si>
  <si>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</si>
  <si>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</si>
  <si>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</si>
  <si>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</si>
  <si>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</si>
  <si>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</si>
  <si>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</si>
  <si>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</si>
  <si>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</si>
  <si>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</si>
  <si>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</si>
  <si>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</si>
  <si>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</si>
  <si>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</si>
  <si>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</si>
  <si>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</si>
  <si>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</si>
  <si>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</si>
  <si>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</si>
  <si>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</si>
  <si>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</si>
  <si>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</si>
  <si>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</si>
  <si>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</si>
  <si>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</si>
  <si>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</si>
  <si>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</si>
  <si>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</si>
  <si>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</si>
  <si>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</si>
  <si>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</si>
  <si>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</si>
  <si>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</si>
  <si>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</si>
  <si>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</si>
  <si>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</si>
  <si>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</si>
  <si>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</si>
  <si>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</si>
  <si>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</si>
  <si>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</si>
  <si>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</si>
  <si>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</si>
  <si>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</si>
  <si>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</si>
  <si>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</si>
  <si>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</si>
  <si>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</si>
  <si>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</si>
  <si>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</si>
  <si>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</si>
  <si>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</si>
  <si>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</si>
  <si>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</si>
  <si>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</si>
  <si>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</si>
  <si>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</si>
  <si>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</si>
  <si>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</si>
  <si>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</si>
  <si>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</si>
  <si>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</si>
  <si>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</si>
  <si>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</si>
  <si>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</si>
  <si>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</si>
  <si>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</si>
  <si>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</si>
  <si>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</si>
  <si>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</si>
  <si>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</si>
  <si>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</si>
  <si>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</si>
  <si>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</si>
  <si>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</si>
  <si>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</si>
  <si>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</si>
  <si>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</si>
  <si>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</si>
  <si>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</si>
  <si>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</si>
  <si>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</si>
  <si>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</si>
  <si>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</si>
  <si>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</si>
  <si>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</si>
  <si>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</si>
  <si>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</si>
  <si>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</si>
  <si>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</si>
  <si>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</si>
  <si>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</si>
  <si>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</si>
  <si>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</si>
  <si>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</si>
  <si>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</si>
  <si>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</si>
  <si>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</si>
  <si>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</si>
  <si>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</si>
  <si>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</si>
  <si>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</si>
  <si>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</si>
  <si>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</si>
  <si>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</si>
  <si>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</si>
  <si>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</si>
  <si>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</si>
  <si>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</si>
  <si>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</si>
  <si>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</si>
  <si>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</si>
  <si>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</si>
  <si>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</si>
  <si>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</si>
  <si>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</si>
  <si>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</si>
  <si>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</si>
  <si>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</si>
  <si>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</si>
  <si>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</si>
  <si>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</si>
  <si>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</si>
  <si>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</si>
  <si>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</si>
  <si>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</si>
  <si>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</si>
  <si>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</si>
  <si>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</si>
  <si>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</si>
  <si>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</si>
  <si>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</si>
  <si>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</si>
  <si>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</si>
  <si>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</si>
  <si>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</si>
  <si>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</si>
  <si>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</si>
  <si>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</si>
  <si>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</si>
  <si>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</si>
  <si>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</si>
  <si>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</si>
  <si>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</si>
  <si>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</si>
  <si>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</si>
  <si>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</si>
  <si>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</si>
  <si>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</si>
  <si>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</si>
  <si>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</si>
  <si>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</si>
  <si>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</si>
  <si>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</si>
  <si>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</si>
  <si>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</si>
  <si>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</si>
  <si>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</si>
  <si>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</si>
  <si>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</si>
  <si>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</si>
  <si>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</si>
  <si>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Company_Name</t>
  </si>
  <si>
    <t>Region</t>
  </si>
  <si>
    <t>Segment</t>
  </si>
  <si>
    <t>Infosys Ltd</t>
  </si>
  <si>
    <t>South</t>
  </si>
  <si>
    <t>Enterprise</t>
  </si>
  <si>
    <t>Tata Consultancy</t>
  </si>
  <si>
    <t>West</t>
  </si>
  <si>
    <t>Wipro Technologies</t>
  </si>
  <si>
    <t>HCL Systems</t>
  </si>
  <si>
    <t>North</t>
  </si>
  <si>
    <t>Reliance Digital</t>
  </si>
  <si>
    <t>Corporate</t>
  </si>
  <si>
    <t>HDFC Bank</t>
  </si>
  <si>
    <t>ICICI Tech</t>
  </si>
  <si>
    <t>Zomato Pvt Ltd</t>
  </si>
  <si>
    <t>Swiggy Inc</t>
  </si>
  <si>
    <t>Byju's Learning</t>
  </si>
  <si>
    <t>Ola Cabs</t>
  </si>
  <si>
    <t>SMB</t>
  </si>
  <si>
    <t>Paytm Services</t>
  </si>
  <si>
    <t>Nykaa Fashion</t>
  </si>
  <si>
    <t>Meesho Network</t>
  </si>
  <si>
    <t>Dream11 Sports</t>
  </si>
  <si>
    <t>Razorpay Tech</t>
  </si>
  <si>
    <t>Zerodha Capital</t>
  </si>
  <si>
    <t>CRED Fintech</t>
  </si>
  <si>
    <t>Urban Company</t>
  </si>
  <si>
    <t>Lenskart Vision</t>
  </si>
  <si>
    <t>Tanishq Retail</t>
  </si>
  <si>
    <t>Myntra Fashion</t>
  </si>
  <si>
    <t>Flipkart India</t>
  </si>
  <si>
    <t>Amazon India</t>
  </si>
  <si>
    <t>Snapdeal Ltd</t>
  </si>
  <si>
    <t>MakeMyTrip</t>
  </si>
  <si>
    <t>PolicyBazaar</t>
  </si>
  <si>
    <t>Groww Invest</t>
  </si>
  <si>
    <t>PhonePe Pay</t>
  </si>
  <si>
    <t>BharatPe</t>
  </si>
  <si>
    <t>Profit_Margin_Percent</t>
  </si>
  <si>
    <t>Avg_Order_Value</t>
  </si>
  <si>
    <t>Row Labels</t>
  </si>
  <si>
    <t>Grand Total</t>
  </si>
  <si>
    <t>Sum of Sales_INR</t>
  </si>
  <si>
    <t>Values</t>
  </si>
  <si>
    <t>Sum of Profit_INR</t>
  </si>
  <si>
    <t>Sum of Profit_Margin_Percent</t>
  </si>
  <si>
    <t>Sales &amp; Profit by Region</t>
  </si>
  <si>
    <t>Revenue &amp; Profit by Service Category</t>
  </si>
  <si>
    <t>Month_Name</t>
  </si>
  <si>
    <t>Month_Number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</si>
  <si>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</si>
  <si>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</si>
  <si>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</si>
  <si>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</si>
  <si>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</si>
  <si>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</si>
  <si>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</si>
  <si>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</si>
  <si>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</si>
  <si>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</si>
  <si>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</si>
  <si>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</si>
  <si>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Sales Trend 2024</t>
  </si>
  <si>
    <t>Top 10 Customers by 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</si>
</sst>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[TechNova_Analysis.xlsx]Pivot_Region!PivotTable2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Pivot_Region!$B$3:$B$4</c:f>
              <c:strCache>
                <c:ptCount val="1"/>
                <c:pt idx="0">
                  <c:v>Sum of Sales_INR</c:v>
                </c:pt>
              </c:strCache>
            </c:strRef>
          </c:tx>
          <c:cat>
            <c:strRef>
              <c:f>Pivot_Region!$A$5:$A$8</c:f>
              <c:strCache>
                <c:ptCount val="3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</c:strCache>
            </c:strRef>
          </c:cat>
          <c:val>
            <c:numRef>
              <c:f>Pivot_Region!$B$5:$B$8</c:f>
              <c:numCache>
                <c:formatCode>General</c:formatCode>
                <c:ptCount val="3"/>
                <c:pt idx="0">
                  <c:v>65220000</c:v>
                </c:pt>
                <c:pt idx="1">
                  <c:v>59843150</c:v>
                </c:pt>
                <c:pt idx="2">
                  <c:v>32619850</c:v>
                </c:pt>
              </c:numCache>
            </c:numRef>
          </c:val>
        </c:ser>
        <c:ser>
          <c:idx val="1"/>
          <c:order val="1"/>
          <c:tx>
            <c:strRef>
              <c:f>Pivot_Region!$C$3:$C$4</c:f>
              <c:strCache>
                <c:ptCount val="1"/>
                <c:pt idx="0">
                  <c:v>Sum of Profit_INR</c:v>
                </c:pt>
              </c:strCache>
            </c:strRef>
          </c:tx>
          <c:cat>
            <c:strRef>
              <c:f>Pivot_Region!$A$5:$A$8</c:f>
              <c:strCache>
                <c:ptCount val="3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</c:strCache>
            </c:strRef>
          </c:cat>
          <c:val>
            <c:numRef>
              <c:f>Pivot_Region!$C$5:$C$8</c:f>
              <c:numCache>
                <c:formatCode>General</c:formatCode>
                <c:ptCount val="3"/>
                <c:pt idx="0">
                  <c:v>35284000</c:v>
                </c:pt>
                <c:pt idx="1">
                  <c:v>32681150</c:v>
                </c:pt>
                <c:pt idx="2">
                  <c:v>17313850</c:v>
                </c:pt>
              </c:numCache>
            </c:numRef>
          </c:val>
        </c:ser>
        <c:axId val="60684928"/>
        <c:axId val="81545088"/>
      </c:barChart>
      <c:catAx>
        <c:axId val="60684928"/>
        <c:scaling>
          <c:orientation val="minMax"/>
        </c:scaling>
        <c:axPos val="b"/>
        <c:tickLblPos val="nextTo"/>
        <c:crossAx val="81545088"/>
        <c:crosses val="autoZero"/>
        <c:auto val="1"/>
        <c:lblAlgn val="ctr"/>
        <c:lblOffset val="100"/>
      </c:catAx>
      <c:valAx>
        <c:axId val="81545088"/>
        <c:scaling>
          <c:orientation val="minMax"/>
        </c:scaling>
        <c:axPos val="l"/>
        <c:majorGridlines/>
        <c:numFmt formatCode="General" sourceLinked="1"/>
        <c:tickLblPos val="nextTo"/>
        <c:crossAx val="606849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[TechNova_Analysis.xlsx]Pivot_Category!PivotTable3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221741032370954"/>
          <c:y val="2.8252405949256341E-2"/>
          <c:w val="0.51115935705925941"/>
          <c:h val="0.59260094107407546"/>
        </c:manualLayout>
      </c:layout>
      <c:barChart>
        <c:barDir val="col"/>
        <c:grouping val="clustered"/>
        <c:ser>
          <c:idx val="0"/>
          <c:order val="0"/>
          <c:tx>
            <c:strRef>
              <c:f>Pivot_Category!$B$3:$B$4</c:f>
              <c:strCache>
                <c:ptCount val="1"/>
                <c:pt idx="0">
                  <c:v>Sum of Sales_INR</c:v>
                </c:pt>
              </c:strCache>
            </c:strRef>
          </c:tx>
          <c:cat>
            <c:strRef>
              <c:f>Pivot_Category!$A$5:$A$12</c:f>
              <c:strCache>
                <c:ptCount val="7"/>
                <c:pt idx="0">
                  <c:v>AI &amp; Automation</c:v>
                </c:pt>
                <c:pt idx="1">
                  <c:v>Analytics</c:v>
                </c:pt>
                <c:pt idx="2">
                  <c:v>Cloud Services</c:v>
                </c:pt>
                <c:pt idx="3">
                  <c:v>Development</c:v>
                </c:pt>
                <c:pt idx="4">
                  <c:v>IT Support</c:v>
                </c:pt>
                <c:pt idx="5">
                  <c:v>Security Services</c:v>
                </c:pt>
                <c:pt idx="6">
                  <c:v>Software License</c:v>
                </c:pt>
              </c:strCache>
            </c:strRef>
          </c:cat>
          <c:val>
            <c:numRef>
              <c:f>Pivot_Category!$B$5:$B$12</c:f>
              <c:numCache>
                <c:formatCode>General</c:formatCode>
                <c:ptCount val="7"/>
                <c:pt idx="0">
                  <c:v>35940000</c:v>
                </c:pt>
                <c:pt idx="1">
                  <c:v>10469000</c:v>
                </c:pt>
                <c:pt idx="2">
                  <c:v>25787000</c:v>
                </c:pt>
                <c:pt idx="3">
                  <c:v>33347700</c:v>
                </c:pt>
                <c:pt idx="4">
                  <c:v>9216050</c:v>
                </c:pt>
                <c:pt idx="5">
                  <c:v>13409500</c:v>
                </c:pt>
                <c:pt idx="6">
                  <c:v>29513750</c:v>
                </c:pt>
              </c:numCache>
            </c:numRef>
          </c:val>
        </c:ser>
        <c:ser>
          <c:idx val="1"/>
          <c:order val="1"/>
          <c:tx>
            <c:strRef>
              <c:f>Pivot_Category!$C$3:$C$4</c:f>
              <c:strCache>
                <c:ptCount val="1"/>
                <c:pt idx="0">
                  <c:v>Sum of Profit_Margin_Percent</c:v>
                </c:pt>
              </c:strCache>
            </c:strRef>
          </c:tx>
          <c:cat>
            <c:strRef>
              <c:f>Pivot_Category!$A$5:$A$12</c:f>
              <c:strCache>
                <c:ptCount val="7"/>
                <c:pt idx="0">
                  <c:v>AI &amp; Automation</c:v>
                </c:pt>
                <c:pt idx="1">
                  <c:v>Analytics</c:v>
                </c:pt>
                <c:pt idx="2">
                  <c:v>Cloud Services</c:v>
                </c:pt>
                <c:pt idx="3">
                  <c:v>Development</c:v>
                </c:pt>
                <c:pt idx="4">
                  <c:v>IT Support</c:v>
                </c:pt>
                <c:pt idx="5">
                  <c:v>Security Services</c:v>
                </c:pt>
                <c:pt idx="6">
                  <c:v>Software License</c:v>
                </c:pt>
              </c:strCache>
            </c:strRef>
          </c:cat>
          <c:val>
            <c:numRef>
              <c:f>Pivot_Category!$C$5:$C$12</c:f>
              <c:numCache>
                <c:formatCode>General</c:formatCode>
                <c:ptCount val="7"/>
                <c:pt idx="0">
                  <c:v>3450.0299999999984</c:v>
                </c:pt>
                <c:pt idx="1">
                  <c:v>2602.670000000001</c:v>
                </c:pt>
                <c:pt idx="2">
                  <c:v>3797.5699999999979</c:v>
                </c:pt>
                <c:pt idx="3">
                  <c:v>4494.2500000000018</c:v>
                </c:pt>
                <c:pt idx="4">
                  <c:v>3623.909999999998</c:v>
                </c:pt>
                <c:pt idx="5">
                  <c:v>4354.9399999999987</c:v>
                </c:pt>
                <c:pt idx="6">
                  <c:v>4482.4400000000005</c:v>
                </c:pt>
              </c:numCache>
            </c:numRef>
          </c:val>
        </c:ser>
        <c:ser>
          <c:idx val="2"/>
          <c:order val="2"/>
          <c:tx>
            <c:strRef>
              <c:f>Pivot_Category!$D$3:$D$4</c:f>
              <c:strCache>
                <c:ptCount val="1"/>
                <c:pt idx="0">
                  <c:v>Sum of Profit_INR</c:v>
                </c:pt>
              </c:strCache>
            </c:strRef>
          </c:tx>
          <c:cat>
            <c:strRef>
              <c:f>Pivot_Category!$A$5:$A$12</c:f>
              <c:strCache>
                <c:ptCount val="7"/>
                <c:pt idx="0">
                  <c:v>AI &amp; Automation</c:v>
                </c:pt>
                <c:pt idx="1">
                  <c:v>Analytics</c:v>
                </c:pt>
                <c:pt idx="2">
                  <c:v>Cloud Services</c:v>
                </c:pt>
                <c:pt idx="3">
                  <c:v>Development</c:v>
                </c:pt>
                <c:pt idx="4">
                  <c:v>IT Support</c:v>
                </c:pt>
                <c:pt idx="5">
                  <c:v>Security Services</c:v>
                </c:pt>
                <c:pt idx="6">
                  <c:v>Software License</c:v>
                </c:pt>
              </c:strCache>
            </c:strRef>
          </c:cat>
          <c:val>
            <c:numRef>
              <c:f>Pivot_Category!$D$5:$D$12</c:f>
              <c:numCache>
                <c:formatCode>General</c:formatCode>
                <c:ptCount val="7"/>
                <c:pt idx="0">
                  <c:v>19490000</c:v>
                </c:pt>
                <c:pt idx="1">
                  <c:v>5454000</c:v>
                </c:pt>
                <c:pt idx="2">
                  <c:v>13837000</c:v>
                </c:pt>
                <c:pt idx="3">
                  <c:v>17981700</c:v>
                </c:pt>
                <c:pt idx="4">
                  <c:v>4973050</c:v>
                </c:pt>
                <c:pt idx="5">
                  <c:v>7319500</c:v>
                </c:pt>
                <c:pt idx="6">
                  <c:v>16223750</c:v>
                </c:pt>
              </c:numCache>
            </c:numRef>
          </c:val>
        </c:ser>
        <c:axId val="200120192"/>
        <c:axId val="202732288"/>
      </c:barChart>
      <c:catAx>
        <c:axId val="200120192"/>
        <c:scaling>
          <c:orientation val="minMax"/>
        </c:scaling>
        <c:axPos val="b"/>
        <c:tickLblPos val="nextTo"/>
        <c:crossAx val="202732288"/>
        <c:crosses val="autoZero"/>
        <c:auto val="1"/>
        <c:lblAlgn val="ctr"/>
        <c:lblOffset val="100"/>
      </c:catAx>
      <c:valAx>
        <c:axId val="202732288"/>
        <c:scaling>
          <c:orientation val="minMax"/>
        </c:scaling>
        <c:axPos val="l"/>
        <c:majorGridlines/>
        <c:numFmt formatCode="General" sourceLinked="1"/>
        <c:tickLblPos val="nextTo"/>
        <c:crossAx val="2001201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[TechNova_Analysis.xlsx]Pivot_Monthly!PivotTable4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Pivot_Monthly!$B$3:$B$4</c:f>
              <c:strCache>
                <c:ptCount val="1"/>
                <c:pt idx="0">
                  <c:v>Sum of Sales_INR</c:v>
                </c:pt>
              </c:strCache>
            </c:strRef>
          </c:tx>
          <c:marker>
            <c:symbol val="none"/>
          </c:marker>
          <c:cat>
            <c:multiLvlStrRef>
              <c:f>Pivot_Monthly!$A$5:$A$29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Pivot_Monthly!$B$5:$B$29</c:f>
              <c:numCache>
                <c:formatCode>General</c:formatCode>
                <c:ptCount val="12"/>
                <c:pt idx="0">
                  <c:v>11782000</c:v>
                </c:pt>
                <c:pt idx="1">
                  <c:v>8780600</c:v>
                </c:pt>
                <c:pt idx="2">
                  <c:v>9805000</c:v>
                </c:pt>
                <c:pt idx="3">
                  <c:v>8355650</c:v>
                </c:pt>
                <c:pt idx="4">
                  <c:v>8147200</c:v>
                </c:pt>
                <c:pt idx="5">
                  <c:v>9467700</c:v>
                </c:pt>
                <c:pt idx="6">
                  <c:v>6090200</c:v>
                </c:pt>
                <c:pt idx="7">
                  <c:v>8455100</c:v>
                </c:pt>
                <c:pt idx="8">
                  <c:v>11239350</c:v>
                </c:pt>
                <c:pt idx="9">
                  <c:v>25660100</c:v>
                </c:pt>
                <c:pt idx="10">
                  <c:v>23359900</c:v>
                </c:pt>
                <c:pt idx="11">
                  <c:v>26540200</c:v>
                </c:pt>
              </c:numCache>
            </c:numRef>
          </c:val>
        </c:ser>
        <c:ser>
          <c:idx val="1"/>
          <c:order val="1"/>
          <c:tx>
            <c:strRef>
              <c:f>Pivot_Monthly!$C$3:$C$4</c:f>
              <c:strCache>
                <c:ptCount val="1"/>
                <c:pt idx="0">
                  <c:v>Sum of Profit_INR</c:v>
                </c:pt>
              </c:strCache>
            </c:strRef>
          </c:tx>
          <c:marker>
            <c:symbol val="none"/>
          </c:marker>
          <c:cat>
            <c:multiLvlStrRef>
              <c:f>Pivot_Monthly!$A$5:$A$29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Pivot_Monthly!$C$5:$C$29</c:f>
              <c:numCache>
                <c:formatCode>General</c:formatCode>
                <c:ptCount val="12"/>
                <c:pt idx="0">
                  <c:v>6422000</c:v>
                </c:pt>
                <c:pt idx="1">
                  <c:v>4724600</c:v>
                </c:pt>
                <c:pt idx="2">
                  <c:v>5157000</c:v>
                </c:pt>
                <c:pt idx="3">
                  <c:v>4633650</c:v>
                </c:pt>
                <c:pt idx="4">
                  <c:v>4489200</c:v>
                </c:pt>
                <c:pt idx="5">
                  <c:v>5138700</c:v>
                </c:pt>
                <c:pt idx="6">
                  <c:v>3230200</c:v>
                </c:pt>
                <c:pt idx="7">
                  <c:v>4561100</c:v>
                </c:pt>
                <c:pt idx="8">
                  <c:v>6004350</c:v>
                </c:pt>
                <c:pt idx="9">
                  <c:v>14047100</c:v>
                </c:pt>
                <c:pt idx="10">
                  <c:v>12547900</c:v>
                </c:pt>
                <c:pt idx="11">
                  <c:v>14323200</c:v>
                </c:pt>
              </c:numCache>
            </c:numRef>
          </c:val>
        </c:ser>
        <c:marker val="1"/>
        <c:axId val="206646272"/>
        <c:axId val="212067456"/>
      </c:lineChart>
      <c:catAx>
        <c:axId val="206646272"/>
        <c:scaling>
          <c:orientation val="minMax"/>
        </c:scaling>
        <c:axPos val="b"/>
        <c:tickLblPos val="nextTo"/>
        <c:crossAx val="212067456"/>
        <c:crosses val="autoZero"/>
        <c:auto val="1"/>
        <c:lblAlgn val="ctr"/>
        <c:lblOffset val="100"/>
      </c:catAx>
      <c:valAx>
        <c:axId val="212067456"/>
        <c:scaling>
          <c:orientation val="minMax"/>
        </c:scaling>
        <c:axPos val="l"/>
        <c:majorGridlines/>
        <c:numFmt formatCode="General" sourceLinked="1"/>
        <c:tickLblPos val="nextTo"/>
        <c:crossAx val="2066462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[TechNova_Analysis.xlsx]Pivot_Customers!PivotTable5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Pivot_Customers!$B$3:$B$4</c:f>
              <c:strCache>
                <c:ptCount val="1"/>
                <c:pt idx="0">
                  <c:v>Sum of Sales_INR</c:v>
                </c:pt>
              </c:strCache>
            </c:strRef>
          </c:tx>
          <c:cat>
            <c:strRef>
              <c:f>Pivot_Customers!$A$5:$A$15</c:f>
              <c:strCache>
                <c:ptCount val="10"/>
                <c:pt idx="0">
                  <c:v>Amazon India</c:v>
                </c:pt>
                <c:pt idx="1">
                  <c:v>Byju's Learning</c:v>
                </c:pt>
                <c:pt idx="2">
                  <c:v>CRED Fintech</c:v>
                </c:pt>
                <c:pt idx="3">
                  <c:v>Groww Invest</c:v>
                </c:pt>
                <c:pt idx="4">
                  <c:v>HCL Systems</c:v>
                </c:pt>
                <c:pt idx="5">
                  <c:v>Paytm Services</c:v>
                </c:pt>
                <c:pt idx="6">
                  <c:v>PhonePe Pay</c:v>
                </c:pt>
                <c:pt idx="7">
                  <c:v>Snapdeal Ltd</c:v>
                </c:pt>
                <c:pt idx="8">
                  <c:v>Tanishq Retail</c:v>
                </c:pt>
                <c:pt idx="9">
                  <c:v>Zomato Pvt Ltd</c:v>
                </c:pt>
              </c:strCache>
            </c:strRef>
          </c:cat>
          <c:val>
            <c:numRef>
              <c:f>Pivot_Customers!$B$5:$B$15</c:f>
              <c:numCache>
                <c:formatCode>General</c:formatCode>
                <c:ptCount val="10"/>
                <c:pt idx="0">
                  <c:v>7210150</c:v>
                </c:pt>
                <c:pt idx="1">
                  <c:v>5693700</c:v>
                </c:pt>
                <c:pt idx="2">
                  <c:v>5974650</c:v>
                </c:pt>
                <c:pt idx="3">
                  <c:v>6277500</c:v>
                </c:pt>
                <c:pt idx="4">
                  <c:v>6329750</c:v>
                </c:pt>
                <c:pt idx="5">
                  <c:v>6396650</c:v>
                </c:pt>
                <c:pt idx="6">
                  <c:v>7715300</c:v>
                </c:pt>
                <c:pt idx="7">
                  <c:v>6173600</c:v>
                </c:pt>
                <c:pt idx="8">
                  <c:v>7575850</c:v>
                </c:pt>
                <c:pt idx="9">
                  <c:v>10854000</c:v>
                </c:pt>
              </c:numCache>
            </c:numRef>
          </c:val>
        </c:ser>
        <c:ser>
          <c:idx val="1"/>
          <c:order val="1"/>
          <c:tx>
            <c:strRef>
              <c:f>Pivot_Customers!$C$3:$C$4</c:f>
              <c:strCache>
                <c:ptCount val="1"/>
                <c:pt idx="0">
                  <c:v>Sum of Profit_INR</c:v>
                </c:pt>
              </c:strCache>
            </c:strRef>
          </c:tx>
          <c:cat>
            <c:strRef>
              <c:f>Pivot_Customers!$A$5:$A$15</c:f>
              <c:strCache>
                <c:ptCount val="10"/>
                <c:pt idx="0">
                  <c:v>Amazon India</c:v>
                </c:pt>
                <c:pt idx="1">
                  <c:v>Byju's Learning</c:v>
                </c:pt>
                <c:pt idx="2">
                  <c:v>CRED Fintech</c:v>
                </c:pt>
                <c:pt idx="3">
                  <c:v>Groww Invest</c:v>
                </c:pt>
                <c:pt idx="4">
                  <c:v>HCL Systems</c:v>
                </c:pt>
                <c:pt idx="5">
                  <c:v>Paytm Services</c:v>
                </c:pt>
                <c:pt idx="6">
                  <c:v>PhonePe Pay</c:v>
                </c:pt>
                <c:pt idx="7">
                  <c:v>Snapdeal Ltd</c:v>
                </c:pt>
                <c:pt idx="8">
                  <c:v>Tanishq Retail</c:v>
                </c:pt>
                <c:pt idx="9">
                  <c:v>Zomato Pvt Ltd</c:v>
                </c:pt>
              </c:strCache>
            </c:strRef>
          </c:cat>
          <c:val>
            <c:numRef>
              <c:f>Pivot_Customers!$C$5:$C$15</c:f>
              <c:numCache>
                <c:formatCode>General</c:formatCode>
                <c:ptCount val="10"/>
                <c:pt idx="0">
                  <c:v>3971150</c:v>
                </c:pt>
                <c:pt idx="1">
                  <c:v>3132700</c:v>
                </c:pt>
                <c:pt idx="2">
                  <c:v>3270650</c:v>
                </c:pt>
                <c:pt idx="3">
                  <c:v>3415500</c:v>
                </c:pt>
                <c:pt idx="4">
                  <c:v>3438750</c:v>
                </c:pt>
                <c:pt idx="5">
                  <c:v>3486650</c:v>
                </c:pt>
                <c:pt idx="6">
                  <c:v>4178300</c:v>
                </c:pt>
                <c:pt idx="7">
                  <c:v>3445600</c:v>
                </c:pt>
                <c:pt idx="8">
                  <c:v>4044850</c:v>
                </c:pt>
                <c:pt idx="9">
                  <c:v>6042000</c:v>
                </c:pt>
              </c:numCache>
            </c:numRef>
          </c:val>
        </c:ser>
        <c:axId val="212591744"/>
        <c:axId val="212593280"/>
      </c:barChart>
      <c:catAx>
        <c:axId val="212591744"/>
        <c:scaling>
          <c:orientation val="minMax"/>
        </c:scaling>
        <c:axPos val="b"/>
        <c:tickLblPos val="nextTo"/>
        <c:crossAx val="212593280"/>
        <c:crosses val="autoZero"/>
        <c:auto val="1"/>
        <c:lblAlgn val="ctr"/>
        <c:lblOffset val="100"/>
      </c:catAx>
      <c:valAx>
        <c:axId val="212593280"/>
        <c:scaling>
          <c:orientation val="minMax"/>
        </c:scaling>
        <c:axPos val="l"/>
        <c:majorGridlines/>
        <c:numFmt formatCode="General" sourceLinked="1"/>
        <c:tickLblPos val="nextTo"/>
        <c:crossAx val="2125917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2</xdr:row>
      <xdr:rowOff>22860</xdr:rowOff>
    </xdr:from>
    <xdr:to>
      <xdr:col>11</xdr:col>
      <xdr:colOff>152400</xdr:colOff>
      <xdr:row>17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0</xdr:row>
      <xdr:rowOff>152400</xdr:rowOff>
    </xdr:from>
    <xdr:to>
      <xdr:col>14</xdr:col>
      <xdr:colOff>266700</xdr:colOff>
      <xdr:row>16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</xdr:colOff>
      <xdr:row>2</xdr:row>
      <xdr:rowOff>7620</xdr:rowOff>
    </xdr:from>
    <xdr:to>
      <xdr:col>14</xdr:col>
      <xdr:colOff>335280</xdr:colOff>
      <xdr:row>17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586740</xdr:colOff>
      <xdr:row>1</xdr:row>
      <xdr:rowOff>137160</xdr:rowOff>
    </xdr:from>
    <xdr:to>
      <xdr:col>14</xdr:col>
      <xdr:colOff>281940</xdr:colOff>
      <xdr:row>16</xdr:row>
      <xdr:rowOff>137160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hushi kesharwani" refreshedDate="46190.815582523152" createdVersion="3" refreshedVersion="3" minRefreshableVersion="3" recordCount="500">
  <cacheSource type="worksheet">
    <worksheetSource ref="A1:Q501" sheet="Orders"/>
  </cacheSource>
  <cacheFields count="17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4-12-31T00:00:00"/>
    </cacheField>
    <cacheField name="Customer_ID" numFmtId="0">
      <sharedItems/>
    </cacheField>
    <cacheField name="Service_Name" numFmtId="0">
      <sharedItems/>
    </cacheField>
    <cacheField name="Service_Category" numFmtId="0">
      <sharedItems count="7">
        <s v="Security Services"/>
        <s v="Cloud Services"/>
        <s v="Analytics"/>
        <s v="IT Support"/>
        <s v="AI &amp; Automation"/>
        <s v="Development"/>
        <s v="Software License"/>
      </sharedItems>
    </cacheField>
    <cacheField name="Quantity" numFmtId="0">
      <sharedItems containsSemiMixedTypes="0" containsString="0" containsNumber="1" containsInteger="1" minValue="1" maxValue="5"/>
    </cacheField>
    <cacheField name="Sales_INR" numFmtId="0">
      <sharedItems containsSemiMixedTypes="0" containsString="0" containsNumber="1" containsInteger="1" minValue="28000" maxValue="1400000"/>
    </cacheField>
    <cacheField name="Cost_INR" numFmtId="0">
      <sharedItems containsSemiMixedTypes="0" containsString="0" containsNumber="1" containsInteger="1" minValue="15000" maxValue="600000"/>
    </cacheField>
    <cacheField name="Profit_INR" numFmtId="0">
      <sharedItems containsSemiMixedTypes="0" containsString="0" containsNumber="1" containsInteger="1" minValue="13000" maxValue="800000"/>
    </cacheField>
    <cacheField name="Discount_Percent" numFmtId="0">
      <sharedItems containsSemiMixedTypes="0" containsString="0" containsNumber="1" containsInteger="1" minValue="0" maxValue="20"/>
    </cacheField>
    <cacheField name="Order_Status" numFmtId="0">
      <sharedItems/>
    </cacheField>
    <cacheField name="Salesperson" numFmtId="0">
      <sharedItems/>
    </cacheField>
    <cacheField name="Payment_Mode" numFmtId="0">
      <sharedItems/>
    </cacheField>
    <cacheField name="Contract_Months" numFmtId="0">
      <sharedItems containsSemiMixedTypes="0" containsString="0" containsNumber="1" containsInteger="1" minValue="3" maxValue="24"/>
    </cacheField>
    <cacheField name="Profit_Margin_Percent" numFmtId="0">
      <sharedItems containsSemiMixedTypes="0" containsString="0" containsNumber="1" minValue="43.75" maxValue="60"/>
    </cacheField>
    <cacheField name="Avg_Order_Value" numFmtId="0">
      <sharedItems containsSemiMixedTypes="0" containsString="0" containsNumber="1" containsInteger="1" minValue="28000" maxValue="280000"/>
    </cacheField>
    <cacheField name="Region" numFmtId="0">
      <sharedItems count="33">
        <s v="South"/>
        <s v="North"/>
        <s v="West"/>
        <s v="Razorpay Tech" u="1"/>
        <s v="CRED Fintech" u="1"/>
        <s v="HCL Systems" u="1"/>
        <s v="Byju's Learning" u="1"/>
        <s v="Paytm Services" u="1"/>
        <s v="Tanishq Retail" u="1"/>
        <s v="HDFC Bank" u="1"/>
        <s v="Groww Invest" u="1"/>
        <s v="Wipro Technologies" u="1"/>
        <s v="PhonePe Pay" u="1"/>
        <s v="Nykaa Fashion" u="1"/>
        <s v="MakeMyTrip" u="1"/>
        <s v="Swiggy Inc" u="1"/>
        <s v="Meesho Network" u="1"/>
        <s v="ICICI Tech" u="1"/>
        <s v="Dream11 Sports" u="1"/>
        <s v="Amazon India" u="1"/>
        <s v="Infosys Ltd" u="1"/>
        <s v="Flipkart India" u="1"/>
        <s v="Zomato Pvt Ltd" u="1"/>
        <s v="BharatPe" u="1"/>
        <s v="Ola Cabs" u="1"/>
        <s v="Myntra Fashion" u="1"/>
        <s v="Urban Company" u="1"/>
        <s v="Reliance Digital" u="1"/>
        <s v="Tata Consultancy" u="1"/>
        <s v="Zerodha Capital" u="1"/>
        <s v="Lenskart Vision" u="1"/>
        <s v="PolicyBazaar" u="1"/>
        <s v="Snapdeal Ltd" u="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Khushi kesharwani" refreshedDate="46190.828750347224" createdVersion="3" refreshedVersion="3" minRefreshableVersion="3" recordCount="500">
  <cacheSource type="worksheet">
    <worksheetSource ref="A1:S501" sheet="Orders"/>
  </cacheSource>
  <cacheFields count="19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4-12-31T00:00:00"/>
    </cacheField>
    <cacheField name="Customer_ID" numFmtId="0">
      <sharedItems/>
    </cacheField>
    <cacheField name="Service_Name" numFmtId="0">
      <sharedItems/>
    </cacheField>
    <cacheField name="Service_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Sales_INR" numFmtId="0">
      <sharedItems containsSemiMixedTypes="0" containsString="0" containsNumber="1" containsInteger="1" minValue="28000" maxValue="1400000"/>
    </cacheField>
    <cacheField name="Cost_INR" numFmtId="0">
      <sharedItems containsSemiMixedTypes="0" containsString="0" containsNumber="1" containsInteger="1" minValue="15000" maxValue="600000"/>
    </cacheField>
    <cacheField name="Profit_INR" numFmtId="0">
      <sharedItems containsSemiMixedTypes="0" containsString="0" containsNumber="1" containsInteger="1" minValue="13000" maxValue="800000"/>
    </cacheField>
    <cacheField name="Discount_Percent" numFmtId="0">
      <sharedItems containsSemiMixedTypes="0" containsString="0" containsNumber="1" containsInteger="1" minValue="0" maxValue="20"/>
    </cacheField>
    <cacheField name="Order_Status" numFmtId="0">
      <sharedItems/>
    </cacheField>
    <cacheField name="Salesperson" numFmtId="0">
      <sharedItems/>
    </cacheField>
    <cacheField name="Payment_Mode" numFmtId="0">
      <sharedItems/>
    </cacheField>
    <cacheField name="Contract_Months" numFmtId="0">
      <sharedItems containsSemiMixedTypes="0" containsString="0" containsNumber="1" containsInteger="1" minValue="3" maxValue="24"/>
    </cacheField>
    <cacheField name="Profit_Margin_Percent" numFmtId="0">
      <sharedItems containsSemiMixedTypes="0" containsString="0" containsNumber="1" minValue="43.75" maxValue="60"/>
    </cacheField>
    <cacheField name="Avg_Order_Value" numFmtId="0">
      <sharedItems containsSemiMixedTypes="0" containsString="0" containsNumber="1" containsInteger="1" minValue="28000" maxValue="280000"/>
    </cacheField>
    <cacheField name="Region" numFmtId="0">
      <sharedItems/>
    </cacheField>
    <cacheField name="Month_Name" numFmtId="0">
      <sharedItems count="12">
        <s v="December"/>
        <s v="October"/>
        <s v="November"/>
        <s v="May"/>
        <s v="July"/>
        <s v="March"/>
        <s v="June"/>
        <s v="September"/>
        <s v="January"/>
        <s v="August"/>
        <s v="April"/>
        <s v="February"/>
      </sharedItems>
    </cacheField>
    <cacheField name="Month_Number" numFmtId="0">
      <sharedItems containsSemiMixedTypes="0" containsString="0" containsNumber="1" containsInteger="1" minValue="1" maxValue="12" count="12">
        <n v="12"/>
        <n v="10"/>
        <n v="11"/>
        <n v="5"/>
        <n v="7"/>
        <n v="3"/>
        <n v="6"/>
        <n v="9"/>
        <n v="1"/>
        <n v="8"/>
        <n v="4"/>
        <n v="2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Khushi kesharwani" refreshedDate="46190.834661689812" createdVersion="3" refreshedVersion="3" minRefreshableVersion="3" recordCount="500">
  <cacheSource type="worksheet">
    <worksheetSource ref="A1:T501" sheet="Orders"/>
  </cacheSource>
  <cacheFields count="20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4-12-31T00:00:00"/>
    </cacheField>
    <cacheField name="Customer_ID" numFmtId="0">
      <sharedItems/>
    </cacheField>
    <cacheField name="Service_Name" numFmtId="0">
      <sharedItems/>
    </cacheField>
    <cacheField name="Service_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Sales_INR" numFmtId="0">
      <sharedItems containsSemiMixedTypes="0" containsString="0" containsNumber="1" containsInteger="1" minValue="28000" maxValue="1400000"/>
    </cacheField>
    <cacheField name="Cost_INR" numFmtId="0">
      <sharedItems containsSemiMixedTypes="0" containsString="0" containsNumber="1" containsInteger="1" minValue="15000" maxValue="600000"/>
    </cacheField>
    <cacheField name="Profit_INR" numFmtId="0">
      <sharedItems containsSemiMixedTypes="0" containsString="0" containsNumber="1" containsInteger="1" minValue="13000" maxValue="800000"/>
    </cacheField>
    <cacheField name="Discount_Percent" numFmtId="0">
      <sharedItems containsSemiMixedTypes="0" containsString="0" containsNumber="1" containsInteger="1" minValue="0" maxValue="20"/>
    </cacheField>
    <cacheField name="Order_Status" numFmtId="0">
      <sharedItems/>
    </cacheField>
    <cacheField name="Salesperson" numFmtId="0">
      <sharedItems/>
    </cacheField>
    <cacheField name="Payment_Mode" numFmtId="0">
      <sharedItems/>
    </cacheField>
    <cacheField name="Contract_Months" numFmtId="0">
      <sharedItems containsSemiMixedTypes="0" containsString="0" containsNumber="1" containsInteger="1" minValue="3" maxValue="24"/>
    </cacheField>
    <cacheField name="Profit_Margin_Percent" numFmtId="0">
      <sharedItems containsSemiMixedTypes="0" containsString="0" containsNumber="1" minValue="43.75" maxValue="60"/>
    </cacheField>
    <cacheField name="Avg_Order_Value" numFmtId="0">
      <sharedItems containsSemiMixedTypes="0" containsString="0" containsNumber="1" containsInteger="1" minValue="28000" maxValue="280000"/>
    </cacheField>
    <cacheField name="Region" numFmtId="0">
      <sharedItems/>
    </cacheField>
    <cacheField name="Month_Name" numFmtId="0">
      <sharedItems/>
    </cacheField>
    <cacheField name="Month_Number" numFmtId="0">
      <sharedItems containsSemiMixedTypes="0" containsString="0" containsNumber="1" containsInteger="1" minValue="1" maxValue="12"/>
    </cacheField>
    <cacheField name="Company_Name" numFmtId="0">
      <sharedItems count="30">
        <s v="Swiggy Inc"/>
        <s v="Infosys Ltd"/>
        <s v="Meesho Network"/>
        <s v="Snapdeal Ltd"/>
        <s v="Amazon India"/>
        <s v="Groww Invest"/>
        <s v="Myntra Fashion"/>
        <s v="Wipro Technologies"/>
        <s v="Zomato Pvt Ltd"/>
        <s v="ICICI Tech"/>
        <s v="Dream11 Sports"/>
        <s v="Reliance Digital"/>
        <s v="CRED Fintech"/>
        <s v="PhonePe Pay"/>
        <s v="Tata Consultancy"/>
        <s v="Ola Cabs"/>
        <s v="Urban Company"/>
        <s v="MakeMyTrip"/>
        <s v="Paytm Services"/>
        <s v="HDFC Bank"/>
        <s v="Zerodha Capital"/>
        <s v="Lenskart Vision"/>
        <s v="Razorpay Tech"/>
        <s v="BharatPe"/>
        <s v="PolicyBazaar"/>
        <s v="Nykaa Fashion"/>
        <s v="HCL Systems"/>
        <s v="Tanishq Retail"/>
        <s v="Flipkart India"/>
        <s v="Byju's Learning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s v="ORD1001"/>
    <d v="2024-12-30T00:00:00"/>
    <s v="C009"/>
    <s v="Penetration Testing"/>
    <x v="0"/>
    <n v="2"/>
    <n v="140000"/>
    <n v="60000"/>
    <n v="80000"/>
    <n v="0"/>
    <s v="Cancelled"/>
    <s v="Priya Nair"/>
    <s v="Net Banking"/>
    <n v="3"/>
    <n v="57.14"/>
    <n v="70000"/>
    <x v="0"/>
  </r>
  <r>
    <s v="ORD1002"/>
    <d v="2024-10-29T00:00:00"/>
    <s v="C001"/>
    <s v="AWS Management Package"/>
    <x v="1"/>
    <n v="2"/>
    <n v="240000"/>
    <n v="100000"/>
    <n v="140000"/>
    <n v="0"/>
    <s v="In Progress"/>
    <s v="Pooja Singh"/>
    <s v="Bank Transfer"/>
    <n v="6"/>
    <n v="58.33"/>
    <n v="120000"/>
    <x v="0"/>
  </r>
  <r>
    <s v="ORD1003"/>
    <d v="2024-11-28T00:00:00"/>
    <s v="C014"/>
    <s v="Penetration Testing"/>
    <x v="0"/>
    <n v="4"/>
    <n v="252000"/>
    <n v="120000"/>
    <n v="132000"/>
    <n v="10"/>
    <s v="Completed"/>
    <s v="Rohit Sharma"/>
    <s v="Credit Card"/>
    <n v="24"/>
    <n v="52.38"/>
    <n v="63000"/>
    <x v="0"/>
  </r>
  <r>
    <s v="ORD1004"/>
    <d v="2024-10-24T00:00:00"/>
    <s v="C025"/>
    <s v="Business Intelligence Report"/>
    <x v="2"/>
    <n v="1"/>
    <n v="65000"/>
    <n v="28000"/>
    <n v="37000"/>
    <n v="0"/>
    <s v="Completed"/>
    <s v="Priya Nair"/>
    <s v="Cheque"/>
    <n v="12"/>
    <n v="56.92"/>
    <n v="65000"/>
    <x v="1"/>
  </r>
  <r>
    <s v="ORD1005"/>
    <d v="2024-10-02T00:00:00"/>
    <s v="C024"/>
    <s v="IT Support &amp; Maintenance"/>
    <x v="3"/>
    <n v="5"/>
    <n v="175000"/>
    <n v="75000"/>
    <n v="100000"/>
    <n v="0"/>
    <s v="Completed"/>
    <s v="Priya Nair"/>
    <s v="Net Banking"/>
    <n v="12"/>
    <n v="57.14"/>
    <n v="35000"/>
    <x v="1"/>
  </r>
  <r>
    <s v="ORD1006"/>
    <d v="2024-11-17T00:00:00"/>
    <s v="C028"/>
    <s v="AI/ML Model Development"/>
    <x v="4"/>
    <n v="5"/>
    <n v="1400000"/>
    <n v="600000"/>
    <n v="800000"/>
    <n v="0"/>
    <s v="Cancelled"/>
    <s v="Priya Nair"/>
    <s v="Bank Transfer"/>
    <n v="6"/>
    <n v="57.14"/>
    <n v="280000"/>
    <x v="0"/>
  </r>
  <r>
    <s v="ORD1007"/>
    <d v="2024-05-28T00:00:00"/>
    <s v="C028"/>
    <s v="Penetration Testing"/>
    <x v="0"/>
    <n v="1"/>
    <n v="66500"/>
    <n v="30000"/>
    <n v="36500"/>
    <n v="5"/>
    <s v="Completed"/>
    <s v="Sunita Pillai"/>
    <s v="Cheque"/>
    <n v="6"/>
    <n v="54.89"/>
    <n v="66500"/>
    <x v="0"/>
  </r>
  <r>
    <s v="ORD1008"/>
    <d v="2024-07-08T00:00:00"/>
    <s v="C022"/>
    <s v="Firewall &amp; Network Security"/>
    <x v="0"/>
    <n v="1"/>
    <n v="45000"/>
    <n v="20000"/>
    <n v="25000"/>
    <n v="10"/>
    <s v="Cancelled"/>
    <s v="Amit Verma"/>
    <s v="Net Banking"/>
    <n v="6"/>
    <n v="55.56"/>
    <n v="45000"/>
    <x v="0"/>
  </r>
  <r>
    <s v="ORD1009"/>
    <d v="2024-03-24T00:00:00"/>
    <s v="C009"/>
    <s v="Mobile App Development"/>
    <x v="5"/>
    <n v="2"/>
    <n v="340000"/>
    <n v="170000"/>
    <n v="170000"/>
    <n v="15"/>
    <s v="Completed"/>
    <s v="Rohit Sharma"/>
    <s v="Credit Card"/>
    <n v="3"/>
    <n v="50"/>
    <n v="170000"/>
    <x v="0"/>
  </r>
  <r>
    <s v="ORD1010"/>
    <d v="2024-06-10T00:00:00"/>
    <s v="C003"/>
    <s v="Cybersecurity Audit"/>
    <x v="0"/>
    <n v="5"/>
    <n v="255000"/>
    <n v="125000"/>
    <n v="130000"/>
    <n v="15"/>
    <s v="Completed"/>
    <s v="Deepa Iyer"/>
    <s v="UPI"/>
    <n v="24"/>
    <n v="50.98"/>
    <n v="51000"/>
    <x v="0"/>
  </r>
  <r>
    <s v="ORD1011"/>
    <d v="2024-11-25T00:00:00"/>
    <s v="C009"/>
    <s v="ERP Implementation"/>
    <x v="6"/>
    <n v="2"/>
    <n v="374000"/>
    <n v="180000"/>
    <n v="194000"/>
    <n v="15"/>
    <s v="In Progress"/>
    <s v="Arjun Mehta"/>
    <s v="Cheque"/>
    <n v="24"/>
    <n v="51.87"/>
    <n v="187000"/>
    <x v="0"/>
  </r>
  <r>
    <s v="ORD1012"/>
    <d v="2024-10-25T00:00:00"/>
    <s v="C008"/>
    <s v="ERP Implementation"/>
    <x v="6"/>
    <n v="5"/>
    <n v="1045000"/>
    <n v="450000"/>
    <n v="595000"/>
    <n v="5"/>
    <s v="Completed"/>
    <s v="Rohit Sharma"/>
    <s v="Bank Transfer"/>
    <n v="6"/>
    <n v="56.94"/>
    <n v="209000"/>
    <x v="1"/>
  </r>
  <r>
    <s v="ORD1013"/>
    <d v="2024-12-23T00:00:00"/>
    <s v="C014"/>
    <s v="API Integration Service"/>
    <x v="5"/>
    <n v="1"/>
    <n v="83600"/>
    <n v="38000"/>
    <n v="45600"/>
    <n v="5"/>
    <s v="Completed"/>
    <s v="Pooja Singh"/>
    <s v="UPI"/>
    <n v="12"/>
    <n v="54.55"/>
    <n v="83600"/>
    <x v="0"/>
  </r>
  <r>
    <s v="ORD1014"/>
    <d v="2024-10-10T00:00:00"/>
    <s v="C001"/>
    <s v="Enterprise CRM Software"/>
    <x v="6"/>
    <n v="5"/>
    <n v="380000"/>
    <n v="200000"/>
    <n v="180000"/>
    <n v="20"/>
    <s v="Completed"/>
    <s v="Kavita Joshi"/>
    <s v="Bank Transfer"/>
    <n v="12"/>
    <n v="47.37"/>
    <n v="76000"/>
    <x v="0"/>
  </r>
  <r>
    <s v="ORD1015"/>
    <d v="2024-09-27T00:00:00"/>
    <s v="C024"/>
    <s v="Firewall &amp; Network Security"/>
    <x v="0"/>
    <n v="5"/>
    <n v="200000"/>
    <n v="100000"/>
    <n v="100000"/>
    <n v="20"/>
    <s v="Completed"/>
    <s v="Arjun Mehta"/>
    <s v="Bank Transfer"/>
    <n v="12"/>
    <n v="50"/>
    <n v="40000"/>
    <x v="1"/>
  </r>
  <r>
    <s v="ORD1016"/>
    <d v="2024-11-23T00:00:00"/>
    <s v="C007"/>
    <s v="ERP Implementation"/>
    <x v="6"/>
    <n v="3"/>
    <n v="528000"/>
    <n v="270000"/>
    <n v="258000"/>
    <n v="20"/>
    <s v="Completed"/>
    <s v="Arjun Mehta"/>
    <s v="Net Banking"/>
    <n v="3"/>
    <n v="48.86"/>
    <n v="176000"/>
    <x v="2"/>
  </r>
  <r>
    <s v="ORD1017"/>
    <d v="2024-11-02T00:00:00"/>
    <s v="C001"/>
    <s v="Enterprise CRM Software"/>
    <x v="6"/>
    <n v="3"/>
    <n v="228000"/>
    <n v="120000"/>
    <n v="108000"/>
    <n v="20"/>
    <s v="Completed"/>
    <s v="Deepa Iyer"/>
    <s v="Bank Transfer"/>
    <n v="6"/>
    <n v="47.37"/>
    <n v="76000"/>
    <x v="0"/>
  </r>
  <r>
    <s v="ORD1018"/>
    <d v="2024-10-17T00:00:00"/>
    <s v="C003"/>
    <s v="Annual AMC Contract"/>
    <x v="3"/>
    <n v="1"/>
    <n v="33600"/>
    <n v="18000"/>
    <n v="15600"/>
    <n v="20"/>
    <s v="In Progress"/>
    <s v="Amit Verma"/>
    <s v="Credit Card"/>
    <n v="24"/>
    <n v="46.43"/>
    <n v="33600"/>
    <x v="0"/>
  </r>
  <r>
    <s v="ORD1019"/>
    <d v="2024-12-03T00:00:00"/>
    <s v="C028"/>
    <s v="API Integration Service"/>
    <x v="5"/>
    <n v="4"/>
    <n v="352000"/>
    <n v="152000"/>
    <n v="200000"/>
    <n v="0"/>
    <s v="In Progress"/>
    <s v="Deepa Iyer"/>
    <s v="Cheque"/>
    <n v="24"/>
    <n v="56.82"/>
    <n v="88000"/>
    <x v="0"/>
  </r>
  <r>
    <s v="ORD1020"/>
    <d v="2024-12-09T00:00:00"/>
    <s v="C015"/>
    <s v="Network Setup &amp; Config"/>
    <x v="3"/>
    <n v="4"/>
    <n v="208000"/>
    <n v="88000"/>
    <n v="120000"/>
    <n v="0"/>
    <s v="Completed"/>
    <s v="Deepa Iyer"/>
    <s v="Bank Transfer"/>
    <n v="12"/>
    <n v="57.69"/>
    <n v="52000"/>
    <x v="2"/>
  </r>
  <r>
    <s v="ORD1021"/>
    <d v="2024-01-11T00:00:00"/>
    <s v="C008"/>
    <s v="Web Portal Development"/>
    <x v="5"/>
    <n v="2"/>
    <n v="290000"/>
    <n v="120000"/>
    <n v="170000"/>
    <n v="0"/>
    <s v="Completed"/>
    <s v="Rohit Sharma"/>
    <s v="Credit Card"/>
    <n v="3"/>
    <n v="58.62"/>
    <n v="145000"/>
    <x v="1"/>
  </r>
  <r>
    <s v="ORD1022"/>
    <d v="2024-01-17T00:00:00"/>
    <s v="C003"/>
    <s v="Network Setup &amp; Config"/>
    <x v="3"/>
    <n v="2"/>
    <n v="98800"/>
    <n v="44000"/>
    <n v="54800"/>
    <n v="5"/>
    <s v="Cancelled"/>
    <s v="Sunita Pillai"/>
    <s v="Credit Card"/>
    <n v="6"/>
    <n v="55.47"/>
    <n v="49400"/>
    <x v="0"/>
  </r>
  <r>
    <s v="ORD1023"/>
    <d v="2024-10-19T00:00:00"/>
    <s v="C008"/>
    <s v="Annual AMC Contract"/>
    <x v="3"/>
    <n v="4"/>
    <n v="168000"/>
    <n v="72000"/>
    <n v="96000"/>
    <n v="0"/>
    <s v="Completed"/>
    <s v="Priya Nair"/>
    <s v="UPI"/>
    <n v="12"/>
    <n v="57.14"/>
    <n v="42000"/>
    <x v="1"/>
  </r>
  <r>
    <s v="ORD1024"/>
    <d v="2024-08-04T00:00:00"/>
    <s v="C028"/>
    <s v="Cloud Migration Service"/>
    <x v="1"/>
    <n v="1"/>
    <n v="140000"/>
    <n v="60000"/>
    <n v="80000"/>
    <n v="0"/>
    <s v="Completed"/>
    <s v="Kavita Joshi"/>
    <s v="Bank Transfer"/>
    <n v="6"/>
    <n v="57.14"/>
    <n v="140000"/>
    <x v="0"/>
  </r>
  <r>
    <s v="ORD1025"/>
    <d v="2024-11-23T00:00:00"/>
    <s v="C005"/>
    <s v="RPA Implementation"/>
    <x v="4"/>
    <n v="2"/>
    <n v="304000"/>
    <n v="140000"/>
    <n v="164000"/>
    <n v="5"/>
    <s v="Completed"/>
    <s v="Deepa Iyer"/>
    <s v="Bank Transfer"/>
    <n v="24"/>
    <n v="53.95"/>
    <n v="152000"/>
    <x v="2"/>
  </r>
  <r>
    <s v="ORD1026"/>
    <d v="2024-12-19T00:00:00"/>
    <s v="C018"/>
    <s v="Cloud Infrastructure Setup"/>
    <x v="1"/>
    <n v="1"/>
    <n v="144000"/>
    <n v="80000"/>
    <n v="64000"/>
    <n v="20"/>
    <s v="Completed"/>
    <s v="Amit Verma"/>
    <s v="UPI"/>
    <n v="24"/>
    <n v="44.44"/>
    <n v="144000"/>
    <x v="0"/>
  </r>
  <r>
    <s v="ORD1027"/>
    <d v="2024-11-17T00:00:00"/>
    <s v="C029"/>
    <s v="Cloud Migration Service"/>
    <x v="1"/>
    <n v="2"/>
    <n v="266000"/>
    <n v="120000"/>
    <n v="146000"/>
    <n v="5"/>
    <s v="Completed"/>
    <s v="Nikhil Gupta"/>
    <s v="Cheque"/>
    <n v="24"/>
    <n v="54.89"/>
    <n v="133000"/>
    <x v="0"/>
  </r>
  <r>
    <s v="ORD1028"/>
    <d v="2024-05-26T00:00:00"/>
    <s v="C024"/>
    <s v="Mobile App Development"/>
    <x v="5"/>
    <n v="4"/>
    <n v="800000"/>
    <n v="340000"/>
    <n v="460000"/>
    <n v="0"/>
    <s v="Completed"/>
    <s v="Sandeep Rao"/>
    <s v="Credit Card"/>
    <n v="3"/>
    <n v="57.5"/>
    <n v="200000"/>
    <x v="1"/>
  </r>
  <r>
    <s v="ORD1029"/>
    <d v="2024-10-23T00:00:00"/>
    <s v="C002"/>
    <s v="Business Intelligence Report"/>
    <x v="2"/>
    <n v="1"/>
    <n v="65000"/>
    <n v="28000"/>
    <n v="37000"/>
    <n v="0"/>
    <s v="In Progress"/>
    <s v="Sunita Pillai"/>
    <s v="Net Banking"/>
    <n v="6"/>
    <n v="56.92"/>
    <n v="65000"/>
    <x v="2"/>
  </r>
  <r>
    <s v="ORD1030"/>
    <d v="2024-01-30T00:00:00"/>
    <s v="C003"/>
    <s v="HR Management System"/>
    <x v="6"/>
    <n v="1"/>
    <n v="72000"/>
    <n v="35000"/>
    <n v="37000"/>
    <n v="10"/>
    <s v="Completed"/>
    <s v="Deepa Iyer"/>
    <s v="UPI"/>
    <n v="3"/>
    <n v="51.39"/>
    <n v="72000"/>
    <x v="0"/>
  </r>
  <r>
    <s v="ORD1031"/>
    <d v="2024-12-12T00:00:00"/>
    <s v="C002"/>
    <s v="API Integration Service"/>
    <x v="5"/>
    <n v="1"/>
    <n v="83600"/>
    <n v="38000"/>
    <n v="45600"/>
    <n v="5"/>
    <s v="Cancelled"/>
    <s v="Pooja Singh"/>
    <s v="Net Banking"/>
    <n v="12"/>
    <n v="54.55"/>
    <n v="83600"/>
    <x v="2"/>
  </r>
  <r>
    <s v="ORD1032"/>
    <d v="2024-12-27T00:00:00"/>
    <s v="C011"/>
    <s v="Penetration Testing"/>
    <x v="0"/>
    <n v="3"/>
    <n v="199500"/>
    <n v="90000"/>
    <n v="109500"/>
    <n v="5"/>
    <s v="Completed"/>
    <s v="Sandeep Rao"/>
    <s v="UPI"/>
    <n v="12"/>
    <n v="54.89"/>
    <n v="66500"/>
    <x v="0"/>
  </r>
  <r>
    <s v="ORD1033"/>
    <d v="2024-12-15T00:00:00"/>
    <s v="C019"/>
    <s v="Enterprise CRM Software"/>
    <x v="6"/>
    <n v="1"/>
    <n v="85500"/>
    <n v="40000"/>
    <n v="45500"/>
    <n v="10"/>
    <s v="Completed"/>
    <s v="Arjun Mehta"/>
    <s v="Cheque"/>
    <n v="6"/>
    <n v="53.22"/>
    <n v="85500"/>
    <x v="1"/>
  </r>
  <r>
    <s v="ORD1034"/>
    <d v="2024-06-27T00:00:00"/>
    <s v="C029"/>
    <s v="Penetration Testing"/>
    <x v="0"/>
    <n v="3"/>
    <n v="199500"/>
    <n v="90000"/>
    <n v="109500"/>
    <n v="5"/>
    <s v="Completed"/>
    <s v="Sunita Pillai"/>
    <s v="Net Banking"/>
    <n v="12"/>
    <n v="54.89"/>
    <n v="66500"/>
    <x v="0"/>
  </r>
  <r>
    <s v="ORD1035"/>
    <d v="2024-11-09T00:00:00"/>
    <s v="C026"/>
    <s v="Network Setup &amp; Config"/>
    <x v="3"/>
    <n v="1"/>
    <n v="44200"/>
    <n v="22000"/>
    <n v="22200"/>
    <n v="15"/>
    <s v="In Progress"/>
    <s v="Sandeep Rao"/>
    <s v="Bank Transfer"/>
    <n v="6"/>
    <n v="50.23"/>
    <n v="44200"/>
    <x v="1"/>
  </r>
  <r>
    <s v="ORD1036"/>
    <d v="2024-10-10T00:00:00"/>
    <s v="C024"/>
    <s v="Mobile App Development"/>
    <x v="5"/>
    <n v="2"/>
    <n v="380000"/>
    <n v="170000"/>
    <n v="210000"/>
    <n v="5"/>
    <s v="Completed"/>
    <s v="Pooja Singh"/>
    <s v="Credit Card"/>
    <n v="12"/>
    <n v="55.26"/>
    <n v="190000"/>
    <x v="1"/>
  </r>
  <r>
    <s v="ORD1037"/>
    <d v="2024-04-14T00:00:00"/>
    <s v="C028"/>
    <s v="Firewall &amp; Network Security"/>
    <x v="0"/>
    <n v="5"/>
    <n v="237500"/>
    <n v="100000"/>
    <n v="137500"/>
    <n v="5"/>
    <s v="Completed"/>
    <s v="Rohit Sharma"/>
    <s v="Bank Transfer"/>
    <n v="24"/>
    <n v="57.89"/>
    <n v="47500"/>
    <x v="0"/>
  </r>
  <r>
    <s v="ORD1038"/>
    <d v="2024-11-08T00:00:00"/>
    <s v="C025"/>
    <s v="ERP Implementation"/>
    <x v="6"/>
    <n v="3"/>
    <n v="660000"/>
    <n v="270000"/>
    <n v="390000"/>
    <n v="0"/>
    <s v="Cancelled"/>
    <s v="Sunita Pillai"/>
    <s v="Net Banking"/>
    <n v="24"/>
    <n v="59.09"/>
    <n v="220000"/>
    <x v="1"/>
  </r>
  <r>
    <s v="ORD1039"/>
    <d v="2024-10-06T00:00:00"/>
    <s v="C029"/>
    <s v="ERP Implementation"/>
    <x v="6"/>
    <n v="5"/>
    <n v="1100000"/>
    <n v="450000"/>
    <n v="650000"/>
    <n v="0"/>
    <s v="Completed"/>
    <s v="Pooja Singh"/>
    <s v="Net Banking"/>
    <n v="6"/>
    <n v="59.09"/>
    <n v="220000"/>
    <x v="0"/>
  </r>
  <r>
    <s v="ORD1040"/>
    <d v="2024-11-05T00:00:00"/>
    <s v="C012"/>
    <s v="Cloud Migration Service"/>
    <x v="1"/>
    <n v="3"/>
    <n v="420000"/>
    <n v="180000"/>
    <n v="240000"/>
    <n v="0"/>
    <s v="Cancelled"/>
    <s v="Deepa Iyer"/>
    <s v="Bank Transfer"/>
    <n v="12"/>
    <n v="57.14"/>
    <n v="140000"/>
    <x v="1"/>
  </r>
  <r>
    <s v="ORD1041"/>
    <d v="2024-10-13T00:00:00"/>
    <s v="C014"/>
    <s v="API Integration Service"/>
    <x v="5"/>
    <n v="2"/>
    <n v="176000"/>
    <n v="76000"/>
    <n v="100000"/>
    <n v="0"/>
    <s v="Completed"/>
    <s v="Amit Verma"/>
    <s v="UPI"/>
    <n v="3"/>
    <n v="56.82"/>
    <n v="88000"/>
    <x v="0"/>
  </r>
  <r>
    <s v="ORD1042"/>
    <d v="2024-04-01T00:00:00"/>
    <s v="C011"/>
    <s v="RPA Implementation"/>
    <x v="4"/>
    <n v="2"/>
    <n v="304000"/>
    <n v="140000"/>
    <n v="164000"/>
    <n v="5"/>
    <s v="Completed"/>
    <s v="Priya Nair"/>
    <s v="UPI"/>
    <n v="3"/>
    <n v="53.95"/>
    <n v="152000"/>
    <x v="0"/>
  </r>
  <r>
    <s v="ORD1043"/>
    <d v="2024-11-24T00:00:00"/>
    <s v="C012"/>
    <s v="Data Analytics Dashboard"/>
    <x v="2"/>
    <n v="2"/>
    <n v="200000"/>
    <n v="90000"/>
    <n v="110000"/>
    <n v="0"/>
    <s v="Completed"/>
    <s v="Deepa Iyer"/>
    <s v="UPI"/>
    <n v="12"/>
    <n v="55"/>
    <n v="100000"/>
    <x v="1"/>
  </r>
  <r>
    <s v="ORD1044"/>
    <d v="2024-05-22T00:00:00"/>
    <s v="C025"/>
    <s v="Firewall &amp; Network Security"/>
    <x v="0"/>
    <n v="3"/>
    <n v="127500"/>
    <n v="60000"/>
    <n v="67500"/>
    <n v="15"/>
    <s v="In Progress"/>
    <s v="Nikhil Gupta"/>
    <s v="Net Banking"/>
    <n v="12"/>
    <n v="52.94"/>
    <n v="42500"/>
    <x v="1"/>
  </r>
  <r>
    <s v="ORD1045"/>
    <d v="2024-10-30T00:00:00"/>
    <s v="C006"/>
    <s v="Web Portal Development"/>
    <x v="5"/>
    <n v="3"/>
    <n v="435000"/>
    <n v="180000"/>
    <n v="255000"/>
    <n v="0"/>
    <s v="Completed"/>
    <s v="Pooja Singh"/>
    <s v="UPI"/>
    <n v="12"/>
    <n v="58.62"/>
    <n v="145000"/>
    <x v="2"/>
  </r>
  <r>
    <s v="ORD1046"/>
    <d v="2024-06-09T00:00:00"/>
    <s v="C017"/>
    <s v="Enterprise CRM Software"/>
    <x v="6"/>
    <n v="4"/>
    <n v="342000"/>
    <n v="160000"/>
    <n v="182000"/>
    <n v="10"/>
    <s v="Completed"/>
    <s v="Sandeep Rao"/>
    <s v="Bank Transfer"/>
    <n v="24"/>
    <n v="53.22"/>
    <n v="85500"/>
    <x v="0"/>
  </r>
  <r>
    <s v="ORD1047"/>
    <d v="2024-01-01T00:00:00"/>
    <s v="C026"/>
    <s v="Mobile App Development"/>
    <x v="5"/>
    <n v="2"/>
    <n v="380000"/>
    <n v="170000"/>
    <n v="210000"/>
    <n v="5"/>
    <s v="Completed"/>
    <s v="Priya Nair"/>
    <s v="Cheque"/>
    <n v="12"/>
    <n v="55.26"/>
    <n v="190000"/>
    <x v="1"/>
  </r>
  <r>
    <s v="ORD1048"/>
    <d v="2024-12-05T00:00:00"/>
    <s v="C024"/>
    <s v="Data Analytics Dashboard"/>
    <x v="2"/>
    <n v="5"/>
    <n v="475000"/>
    <n v="225000"/>
    <n v="250000"/>
    <n v="5"/>
    <s v="Cancelled"/>
    <s v="Nikhil Gupta"/>
    <s v="Cheque"/>
    <n v="24"/>
    <n v="52.63"/>
    <n v="95000"/>
    <x v="1"/>
  </r>
  <r>
    <s v="ORD1049"/>
    <d v="2024-10-13T00:00:00"/>
    <s v="C007"/>
    <s v="RPA Implementation"/>
    <x v="4"/>
    <n v="4"/>
    <n v="544000"/>
    <n v="280000"/>
    <n v="264000"/>
    <n v="15"/>
    <s v="Cancelled"/>
    <s v="Amit Verma"/>
    <s v="Net Banking"/>
    <n v="12"/>
    <n v="48.53"/>
    <n v="136000"/>
    <x v="2"/>
  </r>
  <r>
    <s v="ORD1050"/>
    <d v="2024-07-26T00:00:00"/>
    <s v="C001"/>
    <s v="Data Analytics Dashboard"/>
    <x v="2"/>
    <n v="3"/>
    <n v="300000"/>
    <n v="135000"/>
    <n v="165000"/>
    <n v="0"/>
    <s v="Completed"/>
    <s v="Pooja Singh"/>
    <s v="Net Banking"/>
    <n v="12"/>
    <n v="55"/>
    <n v="100000"/>
    <x v="0"/>
  </r>
  <r>
    <s v="ORD1051"/>
    <d v="2024-08-26T00:00:00"/>
    <s v="C022"/>
    <s v="Cybersecurity Audit"/>
    <x v="0"/>
    <n v="5"/>
    <n v="285000"/>
    <n v="125000"/>
    <n v="160000"/>
    <n v="5"/>
    <s v="Cancelled"/>
    <s v="Amit Verma"/>
    <s v="Bank Transfer"/>
    <n v="12"/>
    <n v="56.14"/>
    <n v="57000"/>
    <x v="0"/>
  </r>
  <r>
    <s v="ORD1052"/>
    <d v="2024-09-20T00:00:00"/>
    <s v="C020"/>
    <s v="Business Intelligence Report"/>
    <x v="2"/>
    <n v="1"/>
    <n v="52000"/>
    <n v="28000"/>
    <n v="24000"/>
    <n v="20"/>
    <s v="Completed"/>
    <s v="Sandeep Rao"/>
    <s v="Credit Card"/>
    <n v="6"/>
    <n v="46.15"/>
    <n v="52000"/>
    <x v="1"/>
  </r>
  <r>
    <s v="ORD1053"/>
    <d v="2024-10-28T00:00:00"/>
    <s v="C016"/>
    <s v="API Integration Service"/>
    <x v="5"/>
    <n v="1"/>
    <n v="83600"/>
    <n v="38000"/>
    <n v="45600"/>
    <n v="5"/>
    <s v="Completed"/>
    <s v="Pooja Singh"/>
    <s v="Credit Card"/>
    <n v="24"/>
    <n v="54.55"/>
    <n v="83600"/>
    <x v="0"/>
  </r>
  <r>
    <s v="ORD1054"/>
    <d v="2024-09-10T00:00:00"/>
    <s v="C005"/>
    <s v="Cloud Infrastructure Setup"/>
    <x v="1"/>
    <n v="1"/>
    <n v="144000"/>
    <n v="80000"/>
    <n v="64000"/>
    <n v="20"/>
    <s v="Completed"/>
    <s v="Deepa Iyer"/>
    <s v="Credit Card"/>
    <n v="24"/>
    <n v="44.44"/>
    <n v="144000"/>
    <x v="2"/>
  </r>
  <r>
    <s v="ORD1055"/>
    <d v="2024-01-26T00:00:00"/>
    <s v="C030"/>
    <s v="Enterprise CRM Software"/>
    <x v="6"/>
    <n v="4"/>
    <n v="380000"/>
    <n v="160000"/>
    <n v="220000"/>
    <n v="0"/>
    <s v="Completed"/>
    <s v="Arjun Mehta"/>
    <s v="Net Banking"/>
    <n v="12"/>
    <n v="57.89"/>
    <n v="95000"/>
    <x v="1"/>
  </r>
  <r>
    <s v="ORD1056"/>
    <d v="2024-08-14T00:00:00"/>
    <s v="C024"/>
    <s v="Network Setup &amp; Config"/>
    <x v="3"/>
    <n v="4"/>
    <n v="166400"/>
    <n v="88000"/>
    <n v="78400"/>
    <n v="20"/>
    <s v="In Progress"/>
    <s v="Sunita Pillai"/>
    <s v="Credit Card"/>
    <n v="24"/>
    <n v="47.12"/>
    <n v="41600"/>
    <x v="1"/>
  </r>
  <r>
    <s v="ORD1057"/>
    <d v="2024-10-28T00:00:00"/>
    <s v="C027"/>
    <s v="Firewall &amp; Network Security"/>
    <x v="0"/>
    <n v="5"/>
    <n v="237500"/>
    <n v="100000"/>
    <n v="137500"/>
    <n v="5"/>
    <s v="Cancelled"/>
    <s v="Deepa Iyer"/>
    <s v="Cheque"/>
    <n v="24"/>
    <n v="57.89"/>
    <n v="47500"/>
    <x v="1"/>
  </r>
  <r>
    <s v="ORD1058"/>
    <d v="2024-02-09T00:00:00"/>
    <s v="C008"/>
    <s v="Firewall &amp; Network Security"/>
    <x v="0"/>
    <n v="3"/>
    <n v="142500"/>
    <n v="60000"/>
    <n v="82500"/>
    <n v="5"/>
    <s v="In Progress"/>
    <s v="Priya Nair"/>
    <s v="Credit Card"/>
    <n v="6"/>
    <n v="57.89"/>
    <n v="47500"/>
    <x v="1"/>
  </r>
  <r>
    <s v="ORD1059"/>
    <d v="2024-04-28T00:00:00"/>
    <s v="C005"/>
    <s v="Cybersecurity Audit"/>
    <x v="0"/>
    <n v="1"/>
    <n v="57000"/>
    <n v="25000"/>
    <n v="32000"/>
    <n v="5"/>
    <s v="Completed"/>
    <s v="Kavita Joshi"/>
    <s v="Net Banking"/>
    <n v="24"/>
    <n v="56.14"/>
    <n v="57000"/>
    <x v="2"/>
  </r>
  <r>
    <s v="ORD1060"/>
    <d v="2024-11-19T00:00:00"/>
    <s v="C013"/>
    <s v="Web Portal Development"/>
    <x v="5"/>
    <n v="1"/>
    <n v="116000"/>
    <n v="60000"/>
    <n v="56000"/>
    <n v="20"/>
    <s v="In Progress"/>
    <s v="Nikhil Gupta"/>
    <s v="UPI"/>
    <n v="3"/>
    <n v="48.28"/>
    <n v="116000"/>
    <x v="1"/>
  </r>
  <r>
    <s v="ORD1061"/>
    <d v="2024-11-15T00:00:00"/>
    <s v="C028"/>
    <s v="RPA Implementation"/>
    <x v="4"/>
    <n v="5"/>
    <n v="680000"/>
    <n v="350000"/>
    <n v="330000"/>
    <n v="15"/>
    <s v="Cancelled"/>
    <s v="Arjun Mehta"/>
    <s v="Net Banking"/>
    <n v="6"/>
    <n v="48.53"/>
    <n v="136000"/>
    <x v="0"/>
  </r>
  <r>
    <s v="ORD1062"/>
    <d v="2024-11-21T00:00:00"/>
    <s v="C016"/>
    <s v="Cloud Infrastructure Setup"/>
    <x v="1"/>
    <n v="4"/>
    <n v="684000"/>
    <n v="320000"/>
    <n v="364000"/>
    <n v="5"/>
    <s v="Cancelled"/>
    <s v="Nikhil Gupta"/>
    <s v="Credit Card"/>
    <n v="24"/>
    <n v="53.22"/>
    <n v="171000"/>
    <x v="0"/>
  </r>
  <r>
    <s v="ORD1063"/>
    <d v="2024-03-06T00:00:00"/>
    <s v="C018"/>
    <s v="Cloud Infrastructure Setup"/>
    <x v="1"/>
    <n v="4"/>
    <n v="648000"/>
    <n v="320000"/>
    <n v="328000"/>
    <n v="10"/>
    <s v="In Progress"/>
    <s v="Rohit Sharma"/>
    <s v="Bank Transfer"/>
    <n v="24"/>
    <n v="50.62"/>
    <n v="162000"/>
    <x v="0"/>
  </r>
  <r>
    <s v="ORD1064"/>
    <d v="2024-03-10T00:00:00"/>
    <s v="C006"/>
    <s v="Cloud Migration Service"/>
    <x v="1"/>
    <n v="3"/>
    <n v="399000"/>
    <n v="180000"/>
    <n v="219000"/>
    <n v="5"/>
    <s v="Completed"/>
    <s v="Deepa Iyer"/>
    <s v="UPI"/>
    <n v="12"/>
    <n v="54.89"/>
    <n v="133000"/>
    <x v="2"/>
  </r>
  <r>
    <s v="ORD1065"/>
    <d v="2024-06-21T00:00:00"/>
    <s v="C013"/>
    <s v="Firewall &amp; Network Security"/>
    <x v="0"/>
    <n v="4"/>
    <n v="190000"/>
    <n v="80000"/>
    <n v="110000"/>
    <n v="5"/>
    <s v="Completed"/>
    <s v="Sunita Pillai"/>
    <s v="Bank Transfer"/>
    <n v="3"/>
    <n v="57.89"/>
    <n v="47500"/>
    <x v="1"/>
  </r>
  <r>
    <s v="ORD1066"/>
    <d v="2024-10-05T00:00:00"/>
    <s v="C025"/>
    <s v="Cloud Migration Service"/>
    <x v="1"/>
    <n v="1"/>
    <n v="140000"/>
    <n v="60000"/>
    <n v="80000"/>
    <n v="0"/>
    <s v="Completed"/>
    <s v="Rohit Sharma"/>
    <s v="Net Banking"/>
    <n v="6"/>
    <n v="57.14"/>
    <n v="140000"/>
    <x v="1"/>
  </r>
  <r>
    <s v="ORD1067"/>
    <d v="2024-12-21T00:00:00"/>
    <s v="C004"/>
    <s v="Web Portal Development"/>
    <x v="5"/>
    <n v="2"/>
    <n v="275500"/>
    <n v="120000"/>
    <n v="155500"/>
    <n v="5"/>
    <s v="Cancelled"/>
    <s v="Sandeep Rao"/>
    <s v="Cheque"/>
    <n v="6"/>
    <n v="56.44"/>
    <n v="137750"/>
    <x v="1"/>
  </r>
  <r>
    <s v="ORD1068"/>
    <d v="2024-11-06T00:00:00"/>
    <s v="C024"/>
    <s v="Enterprise CRM Software"/>
    <x v="6"/>
    <n v="2"/>
    <n v="180500"/>
    <n v="80000"/>
    <n v="100500"/>
    <n v="5"/>
    <s v="Completed"/>
    <s v="Pooja Singh"/>
    <s v="Bank Transfer"/>
    <n v="12"/>
    <n v="55.68"/>
    <n v="90250"/>
    <x v="1"/>
  </r>
  <r>
    <s v="ORD1069"/>
    <d v="2024-10-21T00:00:00"/>
    <s v="C013"/>
    <s v="Chatbot Development"/>
    <x v="4"/>
    <n v="2"/>
    <n v="260000"/>
    <n v="110000"/>
    <n v="150000"/>
    <n v="0"/>
    <s v="In Progress"/>
    <s v="Deepa Iyer"/>
    <s v="Bank Transfer"/>
    <n v="12"/>
    <n v="57.69"/>
    <n v="130000"/>
    <x v="1"/>
  </r>
  <r>
    <s v="ORD1070"/>
    <d v="2024-12-16T00:00:00"/>
    <s v="C004"/>
    <s v="Web Portal Development"/>
    <x v="5"/>
    <n v="1"/>
    <n v="137750"/>
    <n v="60000"/>
    <n v="77750"/>
    <n v="5"/>
    <s v="In Progress"/>
    <s v="Nikhil Gupta"/>
    <s v="Cheque"/>
    <n v="3"/>
    <n v="56.44"/>
    <n v="137750"/>
    <x v="1"/>
  </r>
  <r>
    <s v="ORD1071"/>
    <d v="2024-09-16T00:00:00"/>
    <s v="C001"/>
    <s v="RPA Implementation"/>
    <x v="4"/>
    <n v="4"/>
    <n v="640000"/>
    <n v="280000"/>
    <n v="360000"/>
    <n v="0"/>
    <s v="Completed"/>
    <s v="Kavita Joshi"/>
    <s v="UPI"/>
    <n v="6"/>
    <n v="56.25"/>
    <n v="160000"/>
    <x v="0"/>
  </r>
  <r>
    <s v="ORD1072"/>
    <d v="2024-12-02T00:00:00"/>
    <s v="C021"/>
    <s v="Firewall &amp; Network Security"/>
    <x v="0"/>
    <n v="5"/>
    <n v="200000"/>
    <n v="100000"/>
    <n v="100000"/>
    <n v="20"/>
    <s v="In Progress"/>
    <s v="Sunita Pillai"/>
    <s v="UPI"/>
    <n v="24"/>
    <n v="50"/>
    <n v="40000"/>
    <x v="2"/>
  </r>
  <r>
    <s v="ORD1073"/>
    <d v="2024-10-28T00:00:00"/>
    <s v="C027"/>
    <s v="AWS Management Package"/>
    <x v="1"/>
    <n v="3"/>
    <n v="342000"/>
    <n v="150000"/>
    <n v="192000"/>
    <n v="5"/>
    <s v="Completed"/>
    <s v="Sunita Pillai"/>
    <s v="Net Banking"/>
    <n v="24"/>
    <n v="56.14"/>
    <n v="114000"/>
    <x v="1"/>
  </r>
  <r>
    <s v="ORD1074"/>
    <d v="2024-11-07T00:00:00"/>
    <s v="C006"/>
    <s v="Annual AMC Contract"/>
    <x v="3"/>
    <n v="2"/>
    <n v="79800"/>
    <n v="36000"/>
    <n v="43800"/>
    <n v="5"/>
    <s v="Completed"/>
    <s v="Kavita Joshi"/>
    <s v="Cheque"/>
    <n v="12"/>
    <n v="54.89"/>
    <n v="39900"/>
    <x v="2"/>
  </r>
  <r>
    <s v="ORD1075"/>
    <d v="2024-10-21T00:00:00"/>
    <s v="C003"/>
    <s v="Penetration Testing"/>
    <x v="0"/>
    <n v="4"/>
    <n v="266000"/>
    <n v="120000"/>
    <n v="146000"/>
    <n v="5"/>
    <s v="In Progress"/>
    <s v="Deepa Iyer"/>
    <s v="UPI"/>
    <n v="24"/>
    <n v="54.89"/>
    <n v="66500"/>
    <x v="0"/>
  </r>
  <r>
    <s v="ORD1076"/>
    <d v="2024-08-17T00:00:00"/>
    <s v="C003"/>
    <s v="Data Analytics Dashboard"/>
    <x v="2"/>
    <n v="2"/>
    <n v="190000"/>
    <n v="90000"/>
    <n v="100000"/>
    <n v="5"/>
    <s v="Cancelled"/>
    <s v="Deepa Iyer"/>
    <s v="Cheque"/>
    <n v="12"/>
    <n v="52.63"/>
    <n v="95000"/>
    <x v="0"/>
  </r>
  <r>
    <s v="ORD1077"/>
    <d v="2024-08-30T00:00:00"/>
    <s v="C012"/>
    <s v="RPA Implementation"/>
    <x v="4"/>
    <n v="5"/>
    <n v="760000"/>
    <n v="350000"/>
    <n v="410000"/>
    <n v="5"/>
    <s v="Completed"/>
    <s v="Sunita Pillai"/>
    <s v="Cheque"/>
    <n v="12"/>
    <n v="53.95"/>
    <n v="152000"/>
    <x v="1"/>
  </r>
  <r>
    <s v="ORD1078"/>
    <d v="2024-12-28T00:00:00"/>
    <s v="C007"/>
    <s v="Business Intelligence Report"/>
    <x v="2"/>
    <n v="1"/>
    <n v="55250"/>
    <n v="28000"/>
    <n v="27250"/>
    <n v="15"/>
    <s v="In Progress"/>
    <s v="Amit Verma"/>
    <s v="Credit Card"/>
    <n v="6"/>
    <n v="49.32"/>
    <n v="55250"/>
    <x v="2"/>
  </r>
  <r>
    <s v="ORD1079"/>
    <d v="2024-12-11T00:00:00"/>
    <s v="C025"/>
    <s v="Network Setup &amp; Config"/>
    <x v="3"/>
    <n v="5"/>
    <n v="247000"/>
    <n v="110000"/>
    <n v="137000"/>
    <n v="5"/>
    <s v="Completed"/>
    <s v="Deepa Iyer"/>
    <s v="Cheque"/>
    <n v="6"/>
    <n v="55.47"/>
    <n v="49400"/>
    <x v="1"/>
  </r>
  <r>
    <s v="ORD1080"/>
    <d v="2024-09-28T00:00:00"/>
    <s v="C023"/>
    <s v="Mobile App Development"/>
    <x v="5"/>
    <n v="2"/>
    <n v="380000"/>
    <n v="170000"/>
    <n v="210000"/>
    <n v="5"/>
    <s v="Completed"/>
    <s v="Rohit Sharma"/>
    <s v="Net Banking"/>
    <n v="12"/>
    <n v="55.26"/>
    <n v="190000"/>
    <x v="0"/>
  </r>
  <r>
    <s v="ORD1081"/>
    <d v="2024-12-23T00:00:00"/>
    <s v="C021"/>
    <s v="Annual AMC Contract"/>
    <x v="3"/>
    <n v="1"/>
    <n v="33600"/>
    <n v="18000"/>
    <n v="15600"/>
    <n v="20"/>
    <s v="Completed"/>
    <s v="Pooja Singh"/>
    <s v="Cheque"/>
    <n v="24"/>
    <n v="46.43"/>
    <n v="33600"/>
    <x v="2"/>
  </r>
  <r>
    <s v="ORD1082"/>
    <d v="2024-09-02T00:00:00"/>
    <s v="C006"/>
    <s v="Cloud Migration Service"/>
    <x v="1"/>
    <n v="3"/>
    <n v="336000"/>
    <n v="180000"/>
    <n v="156000"/>
    <n v="20"/>
    <s v="Completed"/>
    <s v="Priya Nair"/>
    <s v="Bank Transfer"/>
    <n v="24"/>
    <n v="46.43"/>
    <n v="112000"/>
    <x v="2"/>
  </r>
  <r>
    <s v="ORD1083"/>
    <d v="2024-12-16T00:00:00"/>
    <s v="C022"/>
    <s v="Cloud Migration Service"/>
    <x v="1"/>
    <n v="2"/>
    <n v="280000"/>
    <n v="120000"/>
    <n v="160000"/>
    <n v="0"/>
    <s v="In Progress"/>
    <s v="Sandeep Rao"/>
    <s v="Bank Transfer"/>
    <n v="6"/>
    <n v="57.14"/>
    <n v="140000"/>
    <x v="0"/>
  </r>
  <r>
    <s v="ORD1084"/>
    <d v="2024-03-01T00:00:00"/>
    <s v="C014"/>
    <s v="API Integration Service"/>
    <x v="5"/>
    <n v="5"/>
    <n v="352000"/>
    <n v="190000"/>
    <n v="162000"/>
    <n v="20"/>
    <s v="In Progress"/>
    <s v="Deepa Iyer"/>
    <s v="Net Banking"/>
    <n v="24"/>
    <n v="46.02"/>
    <n v="70400"/>
    <x v="0"/>
  </r>
  <r>
    <s v="ORD1085"/>
    <d v="2024-08-18T00:00:00"/>
    <s v="C010"/>
    <s v="Web Portal Development"/>
    <x v="5"/>
    <n v="4"/>
    <n v="551000"/>
    <n v="240000"/>
    <n v="311000"/>
    <n v="5"/>
    <s v="In Progress"/>
    <s v="Pooja Singh"/>
    <s v="Bank Transfer"/>
    <n v="3"/>
    <n v="56.44"/>
    <n v="137750"/>
    <x v="0"/>
  </r>
  <r>
    <s v="ORD1086"/>
    <d v="2024-04-16T00:00:00"/>
    <s v="C009"/>
    <s v="AWS Management Package"/>
    <x v="1"/>
    <n v="2"/>
    <n v="240000"/>
    <n v="100000"/>
    <n v="140000"/>
    <n v="0"/>
    <s v="Completed"/>
    <s v="Arjun Mehta"/>
    <s v="Bank Transfer"/>
    <n v="6"/>
    <n v="58.33"/>
    <n v="120000"/>
    <x v="0"/>
  </r>
  <r>
    <s v="ORD1087"/>
    <d v="2024-01-02T00:00:00"/>
    <s v="C023"/>
    <s v="API Integration Service"/>
    <x v="5"/>
    <n v="4"/>
    <n v="334400"/>
    <n v="152000"/>
    <n v="182400"/>
    <n v="5"/>
    <s v="Completed"/>
    <s v="Deepa Iyer"/>
    <s v="Cheque"/>
    <n v="12"/>
    <n v="54.55"/>
    <n v="83600"/>
    <x v="0"/>
  </r>
  <r>
    <s v="ORD1088"/>
    <d v="2024-12-25T00:00:00"/>
    <s v="C003"/>
    <s v="Penetration Testing"/>
    <x v="0"/>
    <n v="3"/>
    <n v="168000"/>
    <n v="90000"/>
    <n v="78000"/>
    <n v="20"/>
    <s v="Cancelled"/>
    <s v="Pooja Singh"/>
    <s v="Credit Card"/>
    <n v="24"/>
    <n v="46.43"/>
    <n v="56000"/>
    <x v="0"/>
  </r>
  <r>
    <s v="ORD1089"/>
    <d v="2024-02-28T00:00:00"/>
    <s v="C021"/>
    <s v="ERP Implementation"/>
    <x v="6"/>
    <n v="3"/>
    <n v="528000"/>
    <n v="270000"/>
    <n v="258000"/>
    <n v="20"/>
    <s v="Completed"/>
    <s v="Priya Nair"/>
    <s v="Bank Transfer"/>
    <n v="6"/>
    <n v="48.86"/>
    <n v="176000"/>
    <x v="2"/>
  </r>
  <r>
    <s v="ORD1090"/>
    <d v="2024-06-06T00:00:00"/>
    <s v="C027"/>
    <s v="Web Portal Development"/>
    <x v="5"/>
    <n v="3"/>
    <n v="413250"/>
    <n v="180000"/>
    <n v="233250"/>
    <n v="5"/>
    <s v="Completed"/>
    <s v="Sunita Pillai"/>
    <s v="Cheque"/>
    <n v="24"/>
    <n v="56.44"/>
    <n v="137750"/>
    <x v="1"/>
  </r>
  <r>
    <s v="ORD1091"/>
    <d v="2024-05-19T00:00:00"/>
    <s v="C016"/>
    <s v="IT Support &amp; Maintenance"/>
    <x v="3"/>
    <n v="1"/>
    <n v="31500"/>
    <n v="15000"/>
    <n v="16500"/>
    <n v="10"/>
    <s v="Completed"/>
    <s v="Nikhil Gupta"/>
    <s v="Cheque"/>
    <n v="12"/>
    <n v="52.38"/>
    <n v="31500"/>
    <x v="0"/>
  </r>
  <r>
    <s v="ORD1092"/>
    <d v="2024-12-22T00:00:00"/>
    <s v="C027"/>
    <s v="Web Portal Development"/>
    <x v="5"/>
    <n v="5"/>
    <n v="725000"/>
    <n v="300000"/>
    <n v="425000"/>
    <n v="0"/>
    <s v="Cancelled"/>
    <s v="Sandeep Rao"/>
    <s v="Net Banking"/>
    <n v="3"/>
    <n v="58.62"/>
    <n v="145000"/>
    <x v="1"/>
  </r>
  <r>
    <s v="ORD1093"/>
    <d v="2024-03-30T00:00:00"/>
    <s v="C021"/>
    <s v="IT Support &amp; Maintenance"/>
    <x v="3"/>
    <n v="3"/>
    <n v="105000"/>
    <n v="45000"/>
    <n v="60000"/>
    <n v="0"/>
    <s v="In Progress"/>
    <s v="Nikhil Gupta"/>
    <s v="UPI"/>
    <n v="3"/>
    <n v="57.14"/>
    <n v="35000"/>
    <x v="2"/>
  </r>
  <r>
    <s v="ORD1094"/>
    <d v="2024-08-28T00:00:00"/>
    <s v="C011"/>
    <s v="Business Intelligence Report"/>
    <x v="2"/>
    <n v="1"/>
    <n v="52000"/>
    <n v="28000"/>
    <n v="24000"/>
    <n v="20"/>
    <s v="Completed"/>
    <s v="Kavita Joshi"/>
    <s v="UPI"/>
    <n v="24"/>
    <n v="46.15"/>
    <n v="52000"/>
    <x v="0"/>
  </r>
  <r>
    <s v="ORD1095"/>
    <d v="2024-05-27T00:00:00"/>
    <s v="C013"/>
    <s v="Mobile App Development"/>
    <x v="5"/>
    <n v="1"/>
    <n v="190000"/>
    <n v="85000"/>
    <n v="105000"/>
    <n v="5"/>
    <s v="Completed"/>
    <s v="Kavita Joshi"/>
    <s v="Cheque"/>
    <n v="12"/>
    <n v="55.26"/>
    <n v="190000"/>
    <x v="1"/>
  </r>
  <r>
    <s v="ORD1096"/>
    <d v="2024-02-29T00:00:00"/>
    <s v="C013"/>
    <s v="Network Setup &amp; Config"/>
    <x v="3"/>
    <n v="1"/>
    <n v="44200"/>
    <n v="22000"/>
    <n v="22200"/>
    <n v="15"/>
    <s v="In Progress"/>
    <s v="Sunita Pillai"/>
    <s v="UPI"/>
    <n v="3"/>
    <n v="50.23"/>
    <n v="44200"/>
    <x v="1"/>
  </r>
  <r>
    <s v="ORD1097"/>
    <d v="2024-04-06T00:00:00"/>
    <s v="C020"/>
    <s v="Annual AMC Contract"/>
    <x v="3"/>
    <n v="4"/>
    <n v="134400"/>
    <n v="72000"/>
    <n v="62400"/>
    <n v="20"/>
    <s v="Completed"/>
    <s v="Deepa Iyer"/>
    <s v="Cheque"/>
    <n v="6"/>
    <n v="46.43"/>
    <n v="33600"/>
    <x v="1"/>
  </r>
  <r>
    <s v="ORD1098"/>
    <d v="2024-05-27T00:00:00"/>
    <s v="C023"/>
    <s v="Annual AMC Contract"/>
    <x v="3"/>
    <n v="1"/>
    <n v="42000"/>
    <n v="18000"/>
    <n v="24000"/>
    <n v="0"/>
    <s v="Cancelled"/>
    <s v="Pooja Singh"/>
    <s v="Credit Card"/>
    <n v="6"/>
    <n v="57.14"/>
    <n v="42000"/>
    <x v="0"/>
  </r>
  <r>
    <s v="ORD1099"/>
    <d v="2024-06-08T00:00:00"/>
    <s v="C018"/>
    <s v="RPA Implementation"/>
    <x v="4"/>
    <n v="1"/>
    <n v="160000"/>
    <n v="70000"/>
    <n v="90000"/>
    <n v="0"/>
    <s v="Completed"/>
    <s v="Sunita Pillai"/>
    <s v="Bank Transfer"/>
    <n v="6"/>
    <n v="56.25"/>
    <n v="160000"/>
    <x v="0"/>
  </r>
  <r>
    <s v="ORD1100"/>
    <d v="2024-09-12T00:00:00"/>
    <s v="C010"/>
    <s v="Network Setup &amp; Config"/>
    <x v="3"/>
    <n v="3"/>
    <n v="148200"/>
    <n v="66000"/>
    <n v="82200"/>
    <n v="5"/>
    <s v="Completed"/>
    <s v="Sunita Pillai"/>
    <s v="Credit Card"/>
    <n v="24"/>
    <n v="55.47"/>
    <n v="49400"/>
    <x v="0"/>
  </r>
  <r>
    <s v="ORD1101"/>
    <d v="2024-10-21T00:00:00"/>
    <s v="C030"/>
    <s v="API Integration Service"/>
    <x v="5"/>
    <n v="5"/>
    <n v="374000"/>
    <n v="190000"/>
    <n v="184000"/>
    <n v="15"/>
    <s v="Completed"/>
    <s v="Priya Nair"/>
    <s v="Cheque"/>
    <n v="24"/>
    <n v="49.2"/>
    <n v="74800"/>
    <x v="1"/>
  </r>
  <r>
    <s v="ORD1102"/>
    <d v="2024-06-23T00:00:00"/>
    <s v="C017"/>
    <s v="Firewall &amp; Network Security"/>
    <x v="0"/>
    <n v="1"/>
    <n v="47500"/>
    <n v="20000"/>
    <n v="27500"/>
    <n v="5"/>
    <s v="Cancelled"/>
    <s v="Sandeep Rao"/>
    <s v="Net Banking"/>
    <n v="24"/>
    <n v="57.89"/>
    <n v="47500"/>
    <x v="0"/>
  </r>
  <r>
    <s v="ORD1103"/>
    <d v="2024-03-17T00:00:00"/>
    <s v="C016"/>
    <s v="AI/ML Model Development"/>
    <x v="4"/>
    <n v="3"/>
    <n v="756000"/>
    <n v="360000"/>
    <n v="396000"/>
    <n v="10"/>
    <s v="In Progress"/>
    <s v="Nikhil Gupta"/>
    <s v="UPI"/>
    <n v="12"/>
    <n v="52.38"/>
    <n v="252000"/>
    <x v="0"/>
  </r>
  <r>
    <s v="ORD1104"/>
    <d v="2024-04-06T00:00:00"/>
    <s v="C008"/>
    <s v="Web Portal Development"/>
    <x v="5"/>
    <n v="4"/>
    <n v="580000"/>
    <n v="240000"/>
    <n v="340000"/>
    <n v="0"/>
    <s v="Completed"/>
    <s v="Rohit Sharma"/>
    <s v="Cheque"/>
    <n v="24"/>
    <n v="58.62"/>
    <n v="145000"/>
    <x v="1"/>
  </r>
  <r>
    <s v="ORD1105"/>
    <d v="2024-12-27T00:00:00"/>
    <s v="C013"/>
    <s v="Chatbot Development"/>
    <x v="4"/>
    <n v="2"/>
    <n v="247000"/>
    <n v="110000"/>
    <n v="137000"/>
    <n v="5"/>
    <s v="Completed"/>
    <s v="Amit Verma"/>
    <s v="Net Banking"/>
    <n v="12"/>
    <n v="55.47"/>
    <n v="123500"/>
    <x v="1"/>
  </r>
  <r>
    <s v="ORD1106"/>
    <d v="2024-02-21T00:00:00"/>
    <s v="C015"/>
    <s v="Enterprise CRM Software"/>
    <x v="6"/>
    <n v="5"/>
    <n v="451250"/>
    <n v="200000"/>
    <n v="251250"/>
    <n v="5"/>
    <s v="Completed"/>
    <s v="Amit Verma"/>
    <s v="UPI"/>
    <n v="6"/>
    <n v="55.68"/>
    <n v="90250"/>
    <x v="2"/>
  </r>
  <r>
    <s v="ORD1107"/>
    <d v="2024-02-08T00:00:00"/>
    <s v="C009"/>
    <s v="Business Intelligence Report"/>
    <x v="2"/>
    <n v="5"/>
    <n v="276250"/>
    <n v="140000"/>
    <n v="136250"/>
    <n v="15"/>
    <s v="Completed"/>
    <s v="Priya Nair"/>
    <s v="Cheque"/>
    <n v="24"/>
    <n v="49.32"/>
    <n v="55250"/>
    <x v="0"/>
  </r>
  <r>
    <s v="ORD1108"/>
    <d v="2024-06-11T00:00:00"/>
    <s v="C029"/>
    <s v="Annual AMC Contract"/>
    <x v="3"/>
    <n v="5"/>
    <n v="210000"/>
    <n v="90000"/>
    <n v="120000"/>
    <n v="0"/>
    <s v="In Progress"/>
    <s v="Priya Nair"/>
    <s v="Credit Card"/>
    <n v="12"/>
    <n v="57.14"/>
    <n v="42000"/>
    <x v="0"/>
  </r>
  <r>
    <s v="ORD1109"/>
    <d v="2024-04-26T00:00:00"/>
    <s v="C014"/>
    <s v="Enterprise CRM Software"/>
    <x v="6"/>
    <n v="1"/>
    <n v="90250"/>
    <n v="40000"/>
    <n v="50250"/>
    <n v="5"/>
    <s v="Completed"/>
    <s v="Sandeep Rao"/>
    <s v="Bank Transfer"/>
    <n v="3"/>
    <n v="55.68"/>
    <n v="90250"/>
    <x v="0"/>
  </r>
  <r>
    <s v="ORD1110"/>
    <d v="2024-06-15T00:00:00"/>
    <s v="C010"/>
    <s v="AI/ML Model Development"/>
    <x v="4"/>
    <n v="3"/>
    <n v="798000"/>
    <n v="360000"/>
    <n v="438000"/>
    <n v="5"/>
    <s v="Completed"/>
    <s v="Deepa Iyer"/>
    <s v="Net Banking"/>
    <n v="24"/>
    <n v="54.89"/>
    <n v="266000"/>
    <x v="0"/>
  </r>
  <r>
    <s v="ORD1111"/>
    <d v="2024-10-16T00:00:00"/>
    <s v="C006"/>
    <s v="HR Management System"/>
    <x v="6"/>
    <n v="2"/>
    <n v="160000"/>
    <n v="70000"/>
    <n v="90000"/>
    <n v="0"/>
    <s v="In Progress"/>
    <s v="Nikhil Gupta"/>
    <s v="Net Banking"/>
    <n v="6"/>
    <n v="56.25"/>
    <n v="80000"/>
    <x v="2"/>
  </r>
  <r>
    <s v="ORD1112"/>
    <d v="2024-09-11T00:00:00"/>
    <s v="C005"/>
    <s v="Penetration Testing"/>
    <x v="0"/>
    <n v="4"/>
    <n v="238000"/>
    <n v="120000"/>
    <n v="118000"/>
    <n v="15"/>
    <s v="Completed"/>
    <s v="Sunita Pillai"/>
    <s v="Cheque"/>
    <n v="3"/>
    <n v="49.58"/>
    <n v="59500"/>
    <x v="2"/>
  </r>
  <r>
    <s v="ORD1113"/>
    <d v="2024-08-26T00:00:00"/>
    <s v="C022"/>
    <s v="Mobile App Development"/>
    <x v="5"/>
    <n v="2"/>
    <n v="400000"/>
    <n v="170000"/>
    <n v="230000"/>
    <n v="0"/>
    <s v="Completed"/>
    <s v="Kavita Joshi"/>
    <s v="Net Banking"/>
    <n v="12"/>
    <n v="57.5"/>
    <n v="200000"/>
    <x v="0"/>
  </r>
  <r>
    <s v="ORD1114"/>
    <d v="2024-11-23T00:00:00"/>
    <s v="C023"/>
    <s v="Firewall &amp; Network Security"/>
    <x v="0"/>
    <n v="4"/>
    <n v="160000"/>
    <n v="80000"/>
    <n v="80000"/>
    <n v="20"/>
    <s v="Completed"/>
    <s v="Deepa Iyer"/>
    <s v="UPI"/>
    <n v="24"/>
    <n v="50"/>
    <n v="40000"/>
    <x v="0"/>
  </r>
  <r>
    <s v="ORD1115"/>
    <d v="2024-12-09T00:00:00"/>
    <s v="C012"/>
    <s v="Web Portal Development"/>
    <x v="5"/>
    <n v="3"/>
    <n v="369750"/>
    <n v="180000"/>
    <n v="189750"/>
    <n v="15"/>
    <s v="Completed"/>
    <s v="Rohit Sharma"/>
    <s v="UPI"/>
    <n v="12"/>
    <n v="51.32"/>
    <n v="123250"/>
    <x v="1"/>
  </r>
  <r>
    <s v="ORD1116"/>
    <d v="2024-01-05T00:00:00"/>
    <s v="C022"/>
    <s v="Cloud Migration Service"/>
    <x v="1"/>
    <n v="5"/>
    <n v="595000"/>
    <n v="300000"/>
    <n v="295000"/>
    <n v="15"/>
    <s v="Completed"/>
    <s v="Sandeep Rao"/>
    <s v="Credit Card"/>
    <n v="12"/>
    <n v="49.58"/>
    <n v="119000"/>
    <x v="0"/>
  </r>
  <r>
    <s v="ORD1117"/>
    <d v="2024-04-22T00:00:00"/>
    <s v="C020"/>
    <s v="Firewall &amp; Network Security"/>
    <x v="0"/>
    <n v="2"/>
    <n v="85000"/>
    <n v="40000"/>
    <n v="45000"/>
    <n v="15"/>
    <s v="Completed"/>
    <s v="Rohit Sharma"/>
    <s v="Cheque"/>
    <n v="24"/>
    <n v="52.94"/>
    <n v="42500"/>
    <x v="1"/>
  </r>
  <r>
    <s v="ORD1118"/>
    <d v="2024-01-18T00:00:00"/>
    <s v="C024"/>
    <s v="ERP Implementation"/>
    <x v="6"/>
    <n v="1"/>
    <n v="209000"/>
    <n v="90000"/>
    <n v="119000"/>
    <n v="5"/>
    <s v="Completed"/>
    <s v="Nikhil Gupta"/>
    <s v="Credit Card"/>
    <n v="6"/>
    <n v="56.94"/>
    <n v="209000"/>
    <x v="1"/>
  </r>
  <r>
    <s v="ORD1119"/>
    <d v="2024-03-08T00:00:00"/>
    <s v="C029"/>
    <s v="AI/ML Model Development"/>
    <x v="4"/>
    <n v="5"/>
    <n v="1260000"/>
    <n v="600000"/>
    <n v="660000"/>
    <n v="10"/>
    <s v="Completed"/>
    <s v="Amit Verma"/>
    <s v="Cheque"/>
    <n v="24"/>
    <n v="52.38"/>
    <n v="252000"/>
    <x v="0"/>
  </r>
  <r>
    <s v="ORD1120"/>
    <d v="2024-05-31T00:00:00"/>
    <s v="C011"/>
    <s v="Enterprise CRM Software"/>
    <x v="6"/>
    <n v="4"/>
    <n v="380000"/>
    <n v="160000"/>
    <n v="220000"/>
    <n v="0"/>
    <s v="Completed"/>
    <s v="Deepa Iyer"/>
    <s v="UPI"/>
    <n v="12"/>
    <n v="57.89"/>
    <n v="95000"/>
    <x v="0"/>
  </r>
  <r>
    <s v="ORD1121"/>
    <d v="2024-02-16T00:00:00"/>
    <s v="C001"/>
    <s v="Firewall &amp; Network Security"/>
    <x v="0"/>
    <n v="5"/>
    <n v="250000"/>
    <n v="100000"/>
    <n v="150000"/>
    <n v="0"/>
    <s v="Completed"/>
    <s v="Kavita Joshi"/>
    <s v="Cheque"/>
    <n v="24"/>
    <n v="60"/>
    <n v="50000"/>
    <x v="0"/>
  </r>
  <r>
    <s v="ORD1122"/>
    <d v="2024-11-22T00:00:00"/>
    <s v="C004"/>
    <s v="Penetration Testing"/>
    <x v="0"/>
    <n v="4"/>
    <n v="280000"/>
    <n v="120000"/>
    <n v="160000"/>
    <n v="0"/>
    <s v="In Progress"/>
    <s v="Arjun Mehta"/>
    <s v="Cheque"/>
    <n v="6"/>
    <n v="57.14"/>
    <n v="70000"/>
    <x v="1"/>
  </r>
  <r>
    <s v="ORD1123"/>
    <d v="2024-11-25T00:00:00"/>
    <s v="C030"/>
    <s v="Data Analytics Dashboard"/>
    <x v="2"/>
    <n v="4"/>
    <n v="400000"/>
    <n v="180000"/>
    <n v="220000"/>
    <n v="0"/>
    <s v="Completed"/>
    <s v="Rohit Sharma"/>
    <s v="Bank Transfer"/>
    <n v="12"/>
    <n v="55"/>
    <n v="100000"/>
    <x v="1"/>
  </r>
  <r>
    <s v="ORD1124"/>
    <d v="2024-10-27T00:00:00"/>
    <s v="C029"/>
    <s v="Mobile App Development"/>
    <x v="5"/>
    <n v="2"/>
    <n v="380000"/>
    <n v="170000"/>
    <n v="210000"/>
    <n v="5"/>
    <s v="Completed"/>
    <s v="Kavita Joshi"/>
    <s v="Net Banking"/>
    <n v="24"/>
    <n v="55.26"/>
    <n v="190000"/>
    <x v="0"/>
  </r>
  <r>
    <s v="ORD1125"/>
    <d v="2024-10-27T00:00:00"/>
    <s v="C005"/>
    <s v="RPA Implementation"/>
    <x v="4"/>
    <n v="1"/>
    <n v="128000"/>
    <n v="70000"/>
    <n v="58000"/>
    <n v="20"/>
    <s v="Completed"/>
    <s v="Pooja Singh"/>
    <s v="UPI"/>
    <n v="12"/>
    <n v="45.31"/>
    <n v="128000"/>
    <x v="2"/>
  </r>
  <r>
    <s v="ORD1126"/>
    <d v="2024-01-17T00:00:00"/>
    <s v="C007"/>
    <s v="IT Support &amp; Maintenance"/>
    <x v="3"/>
    <n v="4"/>
    <n v="140000"/>
    <n v="60000"/>
    <n v="80000"/>
    <n v="0"/>
    <s v="Completed"/>
    <s v="Priya Nair"/>
    <s v="Cheque"/>
    <n v="12"/>
    <n v="57.14"/>
    <n v="35000"/>
    <x v="2"/>
  </r>
  <r>
    <s v="ORD1127"/>
    <d v="2024-02-01T00:00:00"/>
    <s v="C007"/>
    <s v="Enterprise CRM Software"/>
    <x v="6"/>
    <n v="4"/>
    <n v="380000"/>
    <n v="160000"/>
    <n v="220000"/>
    <n v="0"/>
    <s v="Cancelled"/>
    <s v="Deepa Iyer"/>
    <s v="Net Banking"/>
    <n v="3"/>
    <n v="57.89"/>
    <n v="95000"/>
    <x v="2"/>
  </r>
  <r>
    <s v="ORD1128"/>
    <d v="2024-01-26T00:00:00"/>
    <s v="C008"/>
    <s v="ERP Implementation"/>
    <x v="6"/>
    <n v="5"/>
    <n v="1100000"/>
    <n v="450000"/>
    <n v="650000"/>
    <n v="0"/>
    <s v="Completed"/>
    <s v="Arjun Mehta"/>
    <s v="Credit Card"/>
    <n v="6"/>
    <n v="59.09"/>
    <n v="220000"/>
    <x v="1"/>
  </r>
  <r>
    <s v="ORD1129"/>
    <d v="2024-04-29T00:00:00"/>
    <s v="C005"/>
    <s v="API Integration Service"/>
    <x v="5"/>
    <n v="1"/>
    <n v="83600"/>
    <n v="38000"/>
    <n v="45600"/>
    <n v="5"/>
    <s v="Completed"/>
    <s v="Amit Verma"/>
    <s v="Net Banking"/>
    <n v="12"/>
    <n v="54.55"/>
    <n v="83600"/>
    <x v="2"/>
  </r>
  <r>
    <s v="ORD1130"/>
    <d v="2024-09-30T00:00:00"/>
    <s v="C005"/>
    <s v="Cloud Infrastructure Setup"/>
    <x v="1"/>
    <n v="3"/>
    <n v="432000"/>
    <n v="240000"/>
    <n v="192000"/>
    <n v="20"/>
    <s v="Completed"/>
    <s v="Pooja Singh"/>
    <s v="Cheque"/>
    <n v="3"/>
    <n v="44.44"/>
    <n v="144000"/>
    <x v="2"/>
  </r>
  <r>
    <s v="ORD1131"/>
    <d v="2024-10-13T00:00:00"/>
    <s v="C024"/>
    <s v="RPA Implementation"/>
    <x v="4"/>
    <n v="5"/>
    <n v="800000"/>
    <n v="350000"/>
    <n v="450000"/>
    <n v="0"/>
    <s v="Cancelled"/>
    <s v="Priya Nair"/>
    <s v="UPI"/>
    <n v="24"/>
    <n v="56.25"/>
    <n v="160000"/>
    <x v="1"/>
  </r>
  <r>
    <s v="ORD1132"/>
    <d v="2024-07-04T00:00:00"/>
    <s v="C004"/>
    <s v="IT Support &amp; Maintenance"/>
    <x v="3"/>
    <n v="5"/>
    <n v="175000"/>
    <n v="75000"/>
    <n v="100000"/>
    <n v="0"/>
    <s v="In Progress"/>
    <s v="Rohit Sharma"/>
    <s v="Net Banking"/>
    <n v="12"/>
    <n v="57.14"/>
    <n v="35000"/>
    <x v="1"/>
  </r>
  <r>
    <s v="ORD1133"/>
    <d v="2024-08-22T00:00:00"/>
    <s v="C001"/>
    <s v="Cloud Migration Service"/>
    <x v="1"/>
    <n v="4"/>
    <n v="448000"/>
    <n v="240000"/>
    <n v="208000"/>
    <n v="20"/>
    <s v="Completed"/>
    <s v="Nikhil Gupta"/>
    <s v="Bank Transfer"/>
    <n v="24"/>
    <n v="46.43"/>
    <n v="112000"/>
    <x v="0"/>
  </r>
  <r>
    <s v="ORD1134"/>
    <d v="2024-12-30T00:00:00"/>
    <s v="C003"/>
    <s v="AWS Management Package"/>
    <x v="1"/>
    <n v="3"/>
    <n v="324000"/>
    <n v="150000"/>
    <n v="174000"/>
    <n v="10"/>
    <s v="Completed"/>
    <s v="Priya Nair"/>
    <s v="Credit Card"/>
    <n v="12"/>
    <n v="53.7"/>
    <n v="108000"/>
    <x v="0"/>
  </r>
  <r>
    <s v="ORD1135"/>
    <d v="2024-11-15T00:00:00"/>
    <s v="C018"/>
    <s v="Business Intelligence Report"/>
    <x v="2"/>
    <n v="4"/>
    <n v="234000"/>
    <n v="112000"/>
    <n v="122000"/>
    <n v="10"/>
    <s v="In Progress"/>
    <s v="Sandeep Rao"/>
    <s v="UPI"/>
    <n v="24"/>
    <n v="52.14"/>
    <n v="58500"/>
    <x v="0"/>
  </r>
  <r>
    <s v="ORD1136"/>
    <d v="2024-02-20T00:00:00"/>
    <s v="C004"/>
    <s v="Mobile App Development"/>
    <x v="5"/>
    <n v="2"/>
    <n v="380000"/>
    <n v="170000"/>
    <n v="210000"/>
    <n v="5"/>
    <s v="Completed"/>
    <s v="Deepa Iyer"/>
    <s v="UPI"/>
    <n v="12"/>
    <n v="55.26"/>
    <n v="190000"/>
    <x v="1"/>
  </r>
  <r>
    <s v="ORD1137"/>
    <d v="2024-08-20T00:00:00"/>
    <s v="C024"/>
    <s v="Enterprise CRM Software"/>
    <x v="6"/>
    <n v="3"/>
    <n v="270750"/>
    <n v="120000"/>
    <n v="150750"/>
    <n v="5"/>
    <s v="Completed"/>
    <s v="Sandeep Rao"/>
    <s v="Cheque"/>
    <n v="6"/>
    <n v="55.68"/>
    <n v="90250"/>
    <x v="1"/>
  </r>
  <r>
    <s v="ORD1138"/>
    <d v="2024-12-17T00:00:00"/>
    <s v="C003"/>
    <s v="AWS Management Package"/>
    <x v="1"/>
    <n v="1"/>
    <n v="120000"/>
    <n v="50000"/>
    <n v="70000"/>
    <n v="0"/>
    <s v="Completed"/>
    <s v="Priya Nair"/>
    <s v="Cheque"/>
    <n v="6"/>
    <n v="58.33"/>
    <n v="120000"/>
    <x v="0"/>
  </r>
  <r>
    <s v="ORD1139"/>
    <d v="2024-12-07T00:00:00"/>
    <s v="C018"/>
    <s v="Business Intelligence Report"/>
    <x v="2"/>
    <n v="1"/>
    <n v="61750"/>
    <n v="28000"/>
    <n v="33750"/>
    <n v="5"/>
    <s v="Completed"/>
    <s v="Nikhil Gupta"/>
    <s v="Bank Transfer"/>
    <n v="12"/>
    <n v="54.66"/>
    <n v="61750"/>
    <x v="0"/>
  </r>
  <r>
    <s v="ORD1140"/>
    <d v="2024-11-03T00:00:00"/>
    <s v="C004"/>
    <s v="Web Portal Development"/>
    <x v="5"/>
    <n v="5"/>
    <n v="725000"/>
    <n v="300000"/>
    <n v="425000"/>
    <n v="0"/>
    <s v="Completed"/>
    <s v="Sunita Pillai"/>
    <s v="Credit Card"/>
    <n v="3"/>
    <n v="58.62"/>
    <n v="145000"/>
    <x v="1"/>
  </r>
  <r>
    <s v="ORD1141"/>
    <d v="2024-06-28T00:00:00"/>
    <s v="C012"/>
    <s v="Enterprise CRM Software"/>
    <x v="6"/>
    <n v="3"/>
    <n v="256500"/>
    <n v="120000"/>
    <n v="136500"/>
    <n v="10"/>
    <s v="Completed"/>
    <s v="Nikhil Gupta"/>
    <s v="Net Banking"/>
    <n v="3"/>
    <n v="53.22"/>
    <n v="85500"/>
    <x v="1"/>
  </r>
  <r>
    <s v="ORD1142"/>
    <d v="2024-11-07T00:00:00"/>
    <s v="C027"/>
    <s v="Firewall &amp; Network Security"/>
    <x v="0"/>
    <n v="1"/>
    <n v="50000"/>
    <n v="20000"/>
    <n v="30000"/>
    <n v="0"/>
    <s v="Completed"/>
    <s v="Sandeep Rao"/>
    <s v="Cheque"/>
    <n v="12"/>
    <n v="60"/>
    <n v="50000"/>
    <x v="1"/>
  </r>
  <r>
    <s v="ORD1143"/>
    <d v="2024-10-15T00:00:00"/>
    <s v="C019"/>
    <s v="Chatbot Development"/>
    <x v="4"/>
    <n v="1"/>
    <n v="130000"/>
    <n v="55000"/>
    <n v="75000"/>
    <n v="0"/>
    <s v="Cancelled"/>
    <s v="Rohit Sharma"/>
    <s v="Bank Transfer"/>
    <n v="6"/>
    <n v="57.69"/>
    <n v="130000"/>
    <x v="1"/>
  </r>
  <r>
    <s v="ORD1144"/>
    <d v="2024-07-11T00:00:00"/>
    <s v="C011"/>
    <s v="HR Management System"/>
    <x v="6"/>
    <n v="3"/>
    <n v="228000"/>
    <n v="105000"/>
    <n v="123000"/>
    <n v="5"/>
    <s v="Cancelled"/>
    <s v="Kavita Joshi"/>
    <s v="Net Banking"/>
    <n v="3"/>
    <n v="53.95"/>
    <n v="76000"/>
    <x v="0"/>
  </r>
  <r>
    <s v="ORD1145"/>
    <d v="2024-12-15T00:00:00"/>
    <s v="C002"/>
    <s v="AWS Management Package"/>
    <x v="1"/>
    <n v="3"/>
    <n v="342000"/>
    <n v="150000"/>
    <n v="192000"/>
    <n v="5"/>
    <s v="Cancelled"/>
    <s v="Nikhil Gupta"/>
    <s v="UPI"/>
    <n v="24"/>
    <n v="56.14"/>
    <n v="114000"/>
    <x v="2"/>
  </r>
  <r>
    <s v="ORD1146"/>
    <d v="2024-12-01T00:00:00"/>
    <s v="C004"/>
    <s v="AI/ML Model Development"/>
    <x v="4"/>
    <n v="4"/>
    <n v="1120000"/>
    <n v="480000"/>
    <n v="640000"/>
    <n v="0"/>
    <s v="Completed"/>
    <s v="Pooja Singh"/>
    <s v="UPI"/>
    <n v="12"/>
    <n v="57.14"/>
    <n v="280000"/>
    <x v="1"/>
  </r>
  <r>
    <s v="ORD1147"/>
    <d v="2024-12-12T00:00:00"/>
    <s v="C002"/>
    <s v="Cloud Infrastructure Setup"/>
    <x v="1"/>
    <n v="2"/>
    <n v="342000"/>
    <n v="160000"/>
    <n v="182000"/>
    <n v="5"/>
    <s v="Completed"/>
    <s v="Amit Verma"/>
    <s v="Cheque"/>
    <n v="12"/>
    <n v="53.22"/>
    <n v="171000"/>
    <x v="2"/>
  </r>
  <r>
    <s v="ORD1148"/>
    <d v="2024-11-29T00:00:00"/>
    <s v="C024"/>
    <s v="RPA Implementation"/>
    <x v="4"/>
    <n v="2"/>
    <n v="320000"/>
    <n v="140000"/>
    <n v="180000"/>
    <n v="0"/>
    <s v="Completed"/>
    <s v="Arjun Mehta"/>
    <s v="Credit Card"/>
    <n v="12"/>
    <n v="56.25"/>
    <n v="160000"/>
    <x v="1"/>
  </r>
  <r>
    <s v="ORD1149"/>
    <d v="2024-02-06T00:00:00"/>
    <s v="C024"/>
    <s v="Cloud Migration Service"/>
    <x v="1"/>
    <n v="4"/>
    <n v="560000"/>
    <n v="240000"/>
    <n v="320000"/>
    <n v="0"/>
    <s v="Completed"/>
    <s v="Priya Nair"/>
    <s v="Cheque"/>
    <n v="24"/>
    <n v="57.14"/>
    <n v="140000"/>
    <x v="1"/>
  </r>
  <r>
    <s v="ORD1150"/>
    <d v="2024-10-20T00:00:00"/>
    <s v="C021"/>
    <s v="RPA Implementation"/>
    <x v="4"/>
    <n v="3"/>
    <n v="480000"/>
    <n v="210000"/>
    <n v="270000"/>
    <n v="0"/>
    <s v="Completed"/>
    <s v="Rohit Sharma"/>
    <s v="Cheque"/>
    <n v="6"/>
    <n v="56.25"/>
    <n v="160000"/>
    <x v="2"/>
  </r>
  <r>
    <s v="ORD1151"/>
    <d v="2024-11-12T00:00:00"/>
    <s v="C023"/>
    <s v="AI/ML Model Development"/>
    <x v="4"/>
    <n v="1"/>
    <n v="266000"/>
    <n v="120000"/>
    <n v="146000"/>
    <n v="5"/>
    <s v="Completed"/>
    <s v="Deepa Iyer"/>
    <s v="UPI"/>
    <n v="24"/>
    <n v="54.89"/>
    <n v="266000"/>
    <x v="0"/>
  </r>
  <r>
    <s v="ORD1152"/>
    <d v="2024-11-05T00:00:00"/>
    <s v="C024"/>
    <s v="Business Intelligence Report"/>
    <x v="2"/>
    <n v="2"/>
    <n v="123500"/>
    <n v="56000"/>
    <n v="67500"/>
    <n v="5"/>
    <s v="Completed"/>
    <s v="Priya Nair"/>
    <s v="Net Banking"/>
    <n v="3"/>
    <n v="54.66"/>
    <n v="61750"/>
    <x v="1"/>
  </r>
  <r>
    <s v="ORD1153"/>
    <d v="2024-09-28T00:00:00"/>
    <s v="C029"/>
    <s v="AI/ML Model Development"/>
    <x v="4"/>
    <n v="3"/>
    <n v="714000"/>
    <n v="360000"/>
    <n v="354000"/>
    <n v="15"/>
    <s v="Cancelled"/>
    <s v="Amit Verma"/>
    <s v="Credit Card"/>
    <n v="3"/>
    <n v="49.58"/>
    <n v="238000"/>
    <x v="0"/>
  </r>
  <r>
    <s v="ORD1154"/>
    <d v="2024-10-19T00:00:00"/>
    <s v="C020"/>
    <s v="ERP Implementation"/>
    <x v="6"/>
    <n v="1"/>
    <n v="220000"/>
    <n v="90000"/>
    <n v="130000"/>
    <n v="0"/>
    <s v="Cancelled"/>
    <s v="Sunita Pillai"/>
    <s v="UPI"/>
    <n v="24"/>
    <n v="59.09"/>
    <n v="220000"/>
    <x v="1"/>
  </r>
  <r>
    <s v="ORD1155"/>
    <d v="2024-12-14T00:00:00"/>
    <s v="C019"/>
    <s v="API Integration Service"/>
    <x v="5"/>
    <n v="3"/>
    <n v="211200"/>
    <n v="114000"/>
    <n v="97200"/>
    <n v="20"/>
    <s v="Cancelled"/>
    <s v="Kavita Joshi"/>
    <s v="Credit Card"/>
    <n v="24"/>
    <n v="46.02"/>
    <n v="70400"/>
    <x v="1"/>
  </r>
  <r>
    <s v="ORD1156"/>
    <d v="2024-02-04T00:00:00"/>
    <s v="C021"/>
    <s v="Data Analytics Dashboard"/>
    <x v="2"/>
    <n v="3"/>
    <n v="270000"/>
    <n v="135000"/>
    <n v="135000"/>
    <n v="10"/>
    <s v="Completed"/>
    <s v="Kavita Joshi"/>
    <s v="Net Banking"/>
    <n v="3"/>
    <n v="50"/>
    <n v="90000"/>
    <x v="2"/>
  </r>
  <r>
    <s v="ORD1157"/>
    <d v="2024-06-07T00:00:00"/>
    <s v="C002"/>
    <s v="Cloud Migration Service"/>
    <x v="1"/>
    <n v="3"/>
    <n v="336000"/>
    <n v="180000"/>
    <n v="156000"/>
    <n v="20"/>
    <s v="Completed"/>
    <s v="Priya Nair"/>
    <s v="Bank Transfer"/>
    <n v="24"/>
    <n v="46.43"/>
    <n v="112000"/>
    <x v="2"/>
  </r>
  <r>
    <s v="ORD1158"/>
    <d v="2024-08-24T00:00:00"/>
    <s v="C026"/>
    <s v="Cloud Migration Service"/>
    <x v="1"/>
    <n v="4"/>
    <n v="448000"/>
    <n v="240000"/>
    <n v="208000"/>
    <n v="20"/>
    <s v="In Progress"/>
    <s v="Deepa Iyer"/>
    <s v="Cheque"/>
    <n v="24"/>
    <n v="46.43"/>
    <n v="112000"/>
    <x v="1"/>
  </r>
  <r>
    <s v="ORD1159"/>
    <d v="2024-10-04T00:00:00"/>
    <s v="C015"/>
    <s v="Enterprise CRM Software"/>
    <x v="6"/>
    <n v="3"/>
    <n v="242250"/>
    <n v="120000"/>
    <n v="122250"/>
    <n v="15"/>
    <s v="Completed"/>
    <s v="Arjun Mehta"/>
    <s v="Credit Card"/>
    <n v="3"/>
    <n v="50.46"/>
    <n v="80750"/>
    <x v="2"/>
  </r>
  <r>
    <s v="ORD1160"/>
    <d v="2024-05-06T00:00:00"/>
    <s v="C015"/>
    <s v="Network Setup &amp; Config"/>
    <x v="3"/>
    <n v="5"/>
    <n v="234000"/>
    <n v="110000"/>
    <n v="124000"/>
    <n v="10"/>
    <s v="Completed"/>
    <s v="Kavita Joshi"/>
    <s v="Cheque"/>
    <n v="12"/>
    <n v="52.99"/>
    <n v="46800"/>
    <x v="2"/>
  </r>
  <r>
    <s v="ORD1161"/>
    <d v="2024-07-17T00:00:00"/>
    <s v="C011"/>
    <s v="API Integration Service"/>
    <x v="5"/>
    <n v="1"/>
    <n v="70400"/>
    <n v="38000"/>
    <n v="32400"/>
    <n v="20"/>
    <s v="Cancelled"/>
    <s v="Kavita Joshi"/>
    <s v="Bank Transfer"/>
    <n v="12"/>
    <n v="46.02"/>
    <n v="70400"/>
    <x v="0"/>
  </r>
  <r>
    <s v="ORD1162"/>
    <d v="2024-02-18T00:00:00"/>
    <s v="C013"/>
    <s v="Data Analytics Dashboard"/>
    <x v="2"/>
    <n v="3"/>
    <n v="255000"/>
    <n v="135000"/>
    <n v="120000"/>
    <n v="15"/>
    <s v="Cancelled"/>
    <s v="Pooja Singh"/>
    <s v="Credit Card"/>
    <n v="12"/>
    <n v="47.06"/>
    <n v="85000"/>
    <x v="1"/>
  </r>
  <r>
    <s v="ORD1163"/>
    <d v="2024-02-11T00:00:00"/>
    <s v="C005"/>
    <s v="AI/ML Model Development"/>
    <x v="4"/>
    <n v="3"/>
    <n v="714000"/>
    <n v="360000"/>
    <n v="354000"/>
    <n v="15"/>
    <s v="Cancelled"/>
    <s v="Nikhil Gupta"/>
    <s v="Credit Card"/>
    <n v="3"/>
    <n v="49.58"/>
    <n v="238000"/>
    <x v="2"/>
  </r>
  <r>
    <s v="ORD1164"/>
    <d v="2024-06-07T00:00:00"/>
    <s v="C021"/>
    <s v="Business Intelligence Report"/>
    <x v="2"/>
    <n v="2"/>
    <n v="110500"/>
    <n v="56000"/>
    <n v="54500"/>
    <n v="15"/>
    <s v="Cancelled"/>
    <s v="Arjun Mehta"/>
    <s v="Bank Transfer"/>
    <n v="24"/>
    <n v="49.32"/>
    <n v="55250"/>
    <x v="2"/>
  </r>
  <r>
    <s v="ORD1165"/>
    <d v="2024-09-17T00:00:00"/>
    <s v="C012"/>
    <s v="Data Analytics Dashboard"/>
    <x v="2"/>
    <n v="2"/>
    <n v="200000"/>
    <n v="90000"/>
    <n v="110000"/>
    <n v="0"/>
    <s v="Completed"/>
    <s v="Sunita Pillai"/>
    <s v="Credit Card"/>
    <n v="6"/>
    <n v="55"/>
    <n v="100000"/>
    <x v="1"/>
  </r>
  <r>
    <s v="ORD1166"/>
    <d v="2024-11-03T00:00:00"/>
    <s v="C028"/>
    <s v="Enterprise CRM Software"/>
    <x v="6"/>
    <n v="5"/>
    <n v="380000"/>
    <n v="200000"/>
    <n v="180000"/>
    <n v="20"/>
    <s v="In Progress"/>
    <s v="Arjun Mehta"/>
    <s v="Bank Transfer"/>
    <n v="12"/>
    <n v="47.37"/>
    <n v="76000"/>
    <x v="0"/>
  </r>
  <r>
    <s v="ORD1167"/>
    <d v="2024-11-14T00:00:00"/>
    <s v="C005"/>
    <s v="HR Management System"/>
    <x v="6"/>
    <n v="2"/>
    <n v="128000"/>
    <n v="70000"/>
    <n v="58000"/>
    <n v="20"/>
    <s v="Cancelled"/>
    <s v="Pooja Singh"/>
    <s v="Credit Card"/>
    <n v="24"/>
    <n v="45.31"/>
    <n v="64000"/>
    <x v="2"/>
  </r>
  <r>
    <s v="ORD1168"/>
    <d v="2024-01-23T00:00:00"/>
    <s v="C022"/>
    <s v="Penetration Testing"/>
    <x v="0"/>
    <n v="4"/>
    <n v="252000"/>
    <n v="120000"/>
    <n v="132000"/>
    <n v="10"/>
    <s v="Completed"/>
    <s v="Sunita Pillai"/>
    <s v="Credit Card"/>
    <n v="6"/>
    <n v="52.38"/>
    <n v="63000"/>
    <x v="0"/>
  </r>
  <r>
    <s v="ORD1169"/>
    <d v="2024-06-07T00:00:00"/>
    <s v="C026"/>
    <s v="Annual AMC Contract"/>
    <x v="3"/>
    <n v="2"/>
    <n v="79800"/>
    <n v="36000"/>
    <n v="43800"/>
    <n v="5"/>
    <s v="Cancelled"/>
    <s v="Pooja Singh"/>
    <s v="UPI"/>
    <n v="24"/>
    <n v="54.89"/>
    <n v="39900"/>
    <x v="1"/>
  </r>
  <r>
    <s v="ORD1170"/>
    <d v="2024-05-24T00:00:00"/>
    <s v="C017"/>
    <s v="Network Setup &amp; Config"/>
    <x v="3"/>
    <n v="4"/>
    <n v="208000"/>
    <n v="88000"/>
    <n v="120000"/>
    <n v="0"/>
    <s v="Completed"/>
    <s v="Pooja Singh"/>
    <s v="Credit Card"/>
    <n v="12"/>
    <n v="57.69"/>
    <n v="52000"/>
    <x v="0"/>
  </r>
  <r>
    <s v="ORD1171"/>
    <d v="2024-01-27T00:00:00"/>
    <s v="C028"/>
    <s v="AI/ML Model Development"/>
    <x v="4"/>
    <n v="5"/>
    <n v="1400000"/>
    <n v="600000"/>
    <n v="800000"/>
    <n v="0"/>
    <s v="Cancelled"/>
    <s v="Arjun Mehta"/>
    <s v="Bank Transfer"/>
    <n v="12"/>
    <n v="57.14"/>
    <n v="280000"/>
    <x v="0"/>
  </r>
  <r>
    <s v="ORD1172"/>
    <d v="2024-02-12T00:00:00"/>
    <s v="C009"/>
    <s v="IT Support &amp; Maintenance"/>
    <x v="3"/>
    <n v="5"/>
    <n v="175000"/>
    <n v="75000"/>
    <n v="100000"/>
    <n v="0"/>
    <s v="Completed"/>
    <s v="Priya Nair"/>
    <s v="Credit Card"/>
    <n v="24"/>
    <n v="57.14"/>
    <n v="35000"/>
    <x v="0"/>
  </r>
  <r>
    <s v="ORD1173"/>
    <d v="2024-06-27T00:00:00"/>
    <s v="C014"/>
    <s v="Cloud Migration Service"/>
    <x v="1"/>
    <n v="4"/>
    <n v="504000"/>
    <n v="240000"/>
    <n v="264000"/>
    <n v="10"/>
    <s v="Completed"/>
    <s v="Deepa Iyer"/>
    <s v="UPI"/>
    <n v="3"/>
    <n v="52.38"/>
    <n v="126000"/>
    <x v="0"/>
  </r>
  <r>
    <s v="ORD1174"/>
    <d v="2024-11-06T00:00:00"/>
    <s v="C030"/>
    <s v="Enterprise CRM Software"/>
    <x v="6"/>
    <n v="3"/>
    <n v="228000"/>
    <n v="120000"/>
    <n v="108000"/>
    <n v="20"/>
    <s v="Completed"/>
    <s v="Amit Verma"/>
    <s v="Bank Transfer"/>
    <n v="12"/>
    <n v="47.37"/>
    <n v="76000"/>
    <x v="1"/>
  </r>
  <r>
    <s v="ORD1175"/>
    <d v="2024-08-29T00:00:00"/>
    <s v="C005"/>
    <s v="Annual AMC Contract"/>
    <x v="3"/>
    <n v="4"/>
    <n v="151200"/>
    <n v="72000"/>
    <n v="79200"/>
    <n v="10"/>
    <s v="Completed"/>
    <s v="Priya Nair"/>
    <s v="Bank Transfer"/>
    <n v="12"/>
    <n v="52.38"/>
    <n v="37800"/>
    <x v="2"/>
  </r>
  <r>
    <s v="ORD1176"/>
    <d v="2024-04-20T00:00:00"/>
    <s v="C018"/>
    <s v="API Integration Service"/>
    <x v="5"/>
    <n v="5"/>
    <n v="418000"/>
    <n v="190000"/>
    <n v="228000"/>
    <n v="5"/>
    <s v="Completed"/>
    <s v="Sandeep Rao"/>
    <s v="Credit Card"/>
    <n v="12"/>
    <n v="54.55"/>
    <n v="83600"/>
    <x v="0"/>
  </r>
  <r>
    <s v="ORD1177"/>
    <d v="2024-11-19T00:00:00"/>
    <s v="C021"/>
    <s v="API Integration Service"/>
    <x v="5"/>
    <n v="4"/>
    <n v="352000"/>
    <n v="152000"/>
    <n v="200000"/>
    <n v="0"/>
    <s v="Completed"/>
    <s v="Sunita Pillai"/>
    <s v="Net Banking"/>
    <n v="3"/>
    <n v="56.82"/>
    <n v="88000"/>
    <x v="2"/>
  </r>
  <r>
    <s v="ORD1178"/>
    <d v="2024-11-19T00:00:00"/>
    <s v="C008"/>
    <s v="ERP Implementation"/>
    <x v="6"/>
    <n v="3"/>
    <n v="627000"/>
    <n v="270000"/>
    <n v="357000"/>
    <n v="5"/>
    <s v="Completed"/>
    <s v="Pooja Singh"/>
    <s v="Cheque"/>
    <n v="6"/>
    <n v="56.94"/>
    <n v="209000"/>
    <x v="1"/>
  </r>
  <r>
    <s v="ORD1179"/>
    <d v="2024-10-19T00:00:00"/>
    <s v="C022"/>
    <s v="AWS Management Package"/>
    <x v="1"/>
    <n v="5"/>
    <n v="570000"/>
    <n v="250000"/>
    <n v="320000"/>
    <n v="5"/>
    <s v="Completed"/>
    <s v="Arjun Mehta"/>
    <s v="Net Banking"/>
    <n v="3"/>
    <n v="56.14"/>
    <n v="114000"/>
    <x v="0"/>
  </r>
  <r>
    <s v="ORD1180"/>
    <d v="2024-07-18T00:00:00"/>
    <s v="C002"/>
    <s v="Chatbot Development"/>
    <x v="4"/>
    <n v="3"/>
    <n v="370500"/>
    <n v="165000"/>
    <n v="205500"/>
    <n v="5"/>
    <s v="Cancelled"/>
    <s v="Rohit Sharma"/>
    <s v="Cheque"/>
    <n v="3"/>
    <n v="55.47"/>
    <n v="123500"/>
    <x v="2"/>
  </r>
  <r>
    <s v="ORD1181"/>
    <d v="2024-12-20T00:00:00"/>
    <s v="C021"/>
    <s v="Enterprise CRM Software"/>
    <x v="6"/>
    <n v="5"/>
    <n v="403750"/>
    <n v="200000"/>
    <n v="203750"/>
    <n v="15"/>
    <s v="Completed"/>
    <s v="Amit Verma"/>
    <s v="Bank Transfer"/>
    <n v="12"/>
    <n v="50.46"/>
    <n v="80750"/>
    <x v="2"/>
  </r>
  <r>
    <s v="ORD1182"/>
    <d v="2024-10-06T00:00:00"/>
    <s v="C021"/>
    <s v="HR Management System"/>
    <x v="6"/>
    <n v="4"/>
    <n v="272000"/>
    <n v="140000"/>
    <n v="132000"/>
    <n v="15"/>
    <s v="Completed"/>
    <s v="Amit Verma"/>
    <s v="Credit Card"/>
    <n v="3"/>
    <n v="48.53"/>
    <n v="68000"/>
    <x v="2"/>
  </r>
  <r>
    <s v="ORD1183"/>
    <d v="2024-10-22T00:00:00"/>
    <s v="C002"/>
    <s v="Cybersecurity Audit"/>
    <x v="0"/>
    <n v="1"/>
    <n v="57000"/>
    <n v="25000"/>
    <n v="32000"/>
    <n v="5"/>
    <s v="Completed"/>
    <s v="Arjun Mehta"/>
    <s v="UPI"/>
    <n v="24"/>
    <n v="56.14"/>
    <n v="57000"/>
    <x v="2"/>
  </r>
  <r>
    <s v="ORD1184"/>
    <d v="2024-12-18T00:00:00"/>
    <s v="C007"/>
    <s v="Data Analytics Dashboard"/>
    <x v="2"/>
    <n v="3"/>
    <n v="240000"/>
    <n v="135000"/>
    <n v="105000"/>
    <n v="20"/>
    <s v="Completed"/>
    <s v="Kavita Joshi"/>
    <s v="Cheque"/>
    <n v="3"/>
    <n v="43.75"/>
    <n v="80000"/>
    <x v="2"/>
  </r>
  <r>
    <s v="ORD1185"/>
    <d v="2024-07-07T00:00:00"/>
    <s v="C013"/>
    <s v="IT Support &amp; Maintenance"/>
    <x v="3"/>
    <n v="4"/>
    <n v="133000"/>
    <n v="60000"/>
    <n v="73000"/>
    <n v="5"/>
    <s v="Completed"/>
    <s v="Sunita Pillai"/>
    <s v="UPI"/>
    <n v="12"/>
    <n v="54.89"/>
    <n v="33250"/>
    <x v="1"/>
  </r>
  <r>
    <s v="ORD1186"/>
    <d v="2024-10-07T00:00:00"/>
    <s v="C024"/>
    <s v="RPA Implementation"/>
    <x v="4"/>
    <n v="1"/>
    <n v="152000"/>
    <n v="70000"/>
    <n v="82000"/>
    <n v="5"/>
    <s v="In Progress"/>
    <s v="Amit Verma"/>
    <s v="Net Banking"/>
    <n v="12"/>
    <n v="53.95"/>
    <n v="152000"/>
    <x v="1"/>
  </r>
  <r>
    <s v="ORD1187"/>
    <d v="2024-11-07T00:00:00"/>
    <s v="C022"/>
    <s v="Data Analytics Dashboard"/>
    <x v="2"/>
    <n v="3"/>
    <n v="285000"/>
    <n v="135000"/>
    <n v="150000"/>
    <n v="5"/>
    <s v="In Progress"/>
    <s v="Nikhil Gupta"/>
    <s v="Credit Card"/>
    <n v="24"/>
    <n v="52.63"/>
    <n v="95000"/>
    <x v="0"/>
  </r>
  <r>
    <s v="ORD1188"/>
    <d v="2024-06-28T00:00:00"/>
    <s v="C024"/>
    <s v="AI/ML Model Development"/>
    <x v="4"/>
    <n v="5"/>
    <n v="1330000"/>
    <n v="600000"/>
    <n v="730000"/>
    <n v="5"/>
    <s v="Completed"/>
    <s v="Rohit Sharma"/>
    <s v="Bank Transfer"/>
    <n v="24"/>
    <n v="54.89"/>
    <n v="266000"/>
    <x v="1"/>
  </r>
  <r>
    <s v="ORD1189"/>
    <d v="2024-07-05T00:00:00"/>
    <s v="C024"/>
    <s v="HR Management System"/>
    <x v="6"/>
    <n v="1"/>
    <n v="80000"/>
    <n v="35000"/>
    <n v="45000"/>
    <n v="0"/>
    <s v="In Progress"/>
    <s v="Sunita Pillai"/>
    <s v="Bank Transfer"/>
    <n v="6"/>
    <n v="56.25"/>
    <n v="80000"/>
    <x v="1"/>
  </r>
  <r>
    <s v="ORD1190"/>
    <d v="2024-12-18T00:00:00"/>
    <s v="C012"/>
    <s v="AI/ML Model Development"/>
    <x v="4"/>
    <n v="4"/>
    <n v="1008000"/>
    <n v="480000"/>
    <n v="528000"/>
    <n v="10"/>
    <s v="Completed"/>
    <s v="Pooja Singh"/>
    <s v="Credit Card"/>
    <n v="24"/>
    <n v="52.38"/>
    <n v="252000"/>
    <x v="1"/>
  </r>
  <r>
    <s v="ORD1191"/>
    <d v="2024-07-08T00:00:00"/>
    <s v="C025"/>
    <s v="AWS Management Package"/>
    <x v="1"/>
    <n v="5"/>
    <n v="600000"/>
    <n v="250000"/>
    <n v="350000"/>
    <n v="0"/>
    <s v="In Progress"/>
    <s v="Kavita Joshi"/>
    <s v="UPI"/>
    <n v="12"/>
    <n v="58.33"/>
    <n v="120000"/>
    <x v="1"/>
  </r>
  <r>
    <s v="ORD1192"/>
    <d v="2024-10-11T00:00:00"/>
    <s v="C001"/>
    <s v="HR Management System"/>
    <x v="6"/>
    <n v="4"/>
    <n v="288000"/>
    <n v="140000"/>
    <n v="148000"/>
    <n v="10"/>
    <s v="Completed"/>
    <s v="Arjun Mehta"/>
    <s v="Bank Transfer"/>
    <n v="12"/>
    <n v="51.39"/>
    <n v="72000"/>
    <x v="0"/>
  </r>
  <r>
    <s v="ORD1193"/>
    <d v="2024-05-13T00:00:00"/>
    <s v="C007"/>
    <s v="API Integration Service"/>
    <x v="5"/>
    <n v="3"/>
    <n v="224400"/>
    <n v="114000"/>
    <n v="110400"/>
    <n v="15"/>
    <s v="Completed"/>
    <s v="Deepa Iyer"/>
    <s v="Bank Transfer"/>
    <n v="6"/>
    <n v="49.2"/>
    <n v="74800"/>
    <x v="2"/>
  </r>
  <r>
    <s v="ORD1194"/>
    <d v="2024-02-07T00:00:00"/>
    <s v="C029"/>
    <s v="IT Support &amp; Maintenance"/>
    <x v="3"/>
    <n v="1"/>
    <n v="28000"/>
    <n v="15000"/>
    <n v="13000"/>
    <n v="20"/>
    <s v="Cancelled"/>
    <s v="Kavita Joshi"/>
    <s v="Cheque"/>
    <n v="3"/>
    <n v="46.43"/>
    <n v="28000"/>
    <x v="0"/>
  </r>
  <r>
    <s v="ORD1195"/>
    <d v="2024-10-08T00:00:00"/>
    <s v="C029"/>
    <s v="Data Analytics Dashboard"/>
    <x v="2"/>
    <n v="2"/>
    <n v="170000"/>
    <n v="90000"/>
    <n v="80000"/>
    <n v="15"/>
    <s v="Cancelled"/>
    <s v="Amit Verma"/>
    <s v="Cheque"/>
    <n v="6"/>
    <n v="47.06"/>
    <n v="85000"/>
    <x v="0"/>
  </r>
  <r>
    <s v="ORD1196"/>
    <d v="2024-03-03T00:00:00"/>
    <s v="C026"/>
    <s v="ERP Implementation"/>
    <x v="6"/>
    <n v="2"/>
    <n v="352000"/>
    <n v="180000"/>
    <n v="172000"/>
    <n v="20"/>
    <s v="Completed"/>
    <s v="Rohit Sharma"/>
    <s v="Cheque"/>
    <n v="12"/>
    <n v="48.86"/>
    <n v="176000"/>
    <x v="1"/>
  </r>
  <r>
    <s v="ORD1197"/>
    <d v="2024-08-27T00:00:00"/>
    <s v="C018"/>
    <s v="ERP Implementation"/>
    <x v="6"/>
    <n v="5"/>
    <n v="1100000"/>
    <n v="450000"/>
    <n v="650000"/>
    <n v="0"/>
    <s v="Completed"/>
    <s v="Sandeep Rao"/>
    <s v="UPI"/>
    <n v="24"/>
    <n v="59.09"/>
    <n v="220000"/>
    <x v="0"/>
  </r>
  <r>
    <s v="ORD1198"/>
    <d v="2024-09-26T00:00:00"/>
    <s v="C014"/>
    <s v="Web Portal Development"/>
    <x v="5"/>
    <n v="1"/>
    <n v="145000"/>
    <n v="60000"/>
    <n v="85000"/>
    <n v="0"/>
    <s v="Completed"/>
    <s v="Priya Nair"/>
    <s v="UPI"/>
    <n v="24"/>
    <n v="58.62"/>
    <n v="145000"/>
    <x v="0"/>
  </r>
  <r>
    <s v="ORD1199"/>
    <d v="2024-12-14T00:00:00"/>
    <s v="C005"/>
    <s v="Mobile App Development"/>
    <x v="5"/>
    <n v="5"/>
    <n v="1000000"/>
    <n v="425000"/>
    <n v="575000"/>
    <n v="0"/>
    <s v="Completed"/>
    <s v="Nikhil Gupta"/>
    <s v="Net Banking"/>
    <n v="3"/>
    <n v="57.5"/>
    <n v="200000"/>
    <x v="2"/>
  </r>
  <r>
    <s v="ORD1200"/>
    <d v="2024-03-04T00:00:00"/>
    <s v="C010"/>
    <s v="HR Management System"/>
    <x v="6"/>
    <n v="2"/>
    <n v="152000"/>
    <n v="70000"/>
    <n v="82000"/>
    <n v="5"/>
    <s v="Cancelled"/>
    <s v="Deepa Iyer"/>
    <s v="Cheque"/>
    <n v="12"/>
    <n v="53.95"/>
    <n v="76000"/>
    <x v="0"/>
  </r>
  <r>
    <s v="ORD1201"/>
    <d v="2024-12-17T00:00:00"/>
    <s v="C018"/>
    <s v="Firewall &amp; Network Security"/>
    <x v="0"/>
    <n v="2"/>
    <n v="85000"/>
    <n v="40000"/>
    <n v="45000"/>
    <n v="15"/>
    <s v="Completed"/>
    <s v="Pooja Singh"/>
    <s v="Net Banking"/>
    <n v="3"/>
    <n v="52.94"/>
    <n v="42500"/>
    <x v="0"/>
  </r>
  <r>
    <s v="ORD1202"/>
    <d v="2024-09-14T00:00:00"/>
    <s v="C019"/>
    <s v="Web Portal Development"/>
    <x v="5"/>
    <n v="2"/>
    <n v="290000"/>
    <n v="120000"/>
    <n v="170000"/>
    <n v="0"/>
    <s v="Cancelled"/>
    <s v="Pooja Singh"/>
    <s v="Net Banking"/>
    <n v="12"/>
    <n v="58.62"/>
    <n v="145000"/>
    <x v="1"/>
  </r>
  <r>
    <s v="ORD1203"/>
    <d v="2024-09-30T00:00:00"/>
    <s v="C003"/>
    <s v="Cloud Migration Service"/>
    <x v="1"/>
    <n v="5"/>
    <n v="665000"/>
    <n v="300000"/>
    <n v="365000"/>
    <n v="5"/>
    <s v="Cancelled"/>
    <s v="Deepa Iyer"/>
    <s v="Net Banking"/>
    <n v="24"/>
    <n v="54.89"/>
    <n v="133000"/>
    <x v="0"/>
  </r>
  <r>
    <s v="ORD1204"/>
    <d v="2024-11-12T00:00:00"/>
    <s v="C016"/>
    <s v="Mobile App Development"/>
    <x v="5"/>
    <n v="3"/>
    <n v="510000"/>
    <n v="255000"/>
    <n v="255000"/>
    <n v="15"/>
    <s v="Completed"/>
    <s v="Sunita Pillai"/>
    <s v="Credit Card"/>
    <n v="24"/>
    <n v="50"/>
    <n v="170000"/>
    <x v="0"/>
  </r>
  <r>
    <s v="ORD1205"/>
    <d v="2024-06-01T00:00:00"/>
    <s v="C023"/>
    <s v="Cloud Migration Service"/>
    <x v="1"/>
    <n v="2"/>
    <n v="266000"/>
    <n v="120000"/>
    <n v="146000"/>
    <n v="5"/>
    <s v="Completed"/>
    <s v="Sunita Pillai"/>
    <s v="UPI"/>
    <n v="6"/>
    <n v="54.89"/>
    <n v="133000"/>
    <x v="0"/>
  </r>
  <r>
    <s v="ORD1206"/>
    <d v="2024-06-23T00:00:00"/>
    <s v="C011"/>
    <s v="Business Intelligence Report"/>
    <x v="2"/>
    <n v="3"/>
    <n v="185250"/>
    <n v="84000"/>
    <n v="101250"/>
    <n v="5"/>
    <s v="Completed"/>
    <s v="Kavita Joshi"/>
    <s v="Net Banking"/>
    <n v="3"/>
    <n v="54.66"/>
    <n v="61750"/>
    <x v="0"/>
  </r>
  <r>
    <s v="ORD1207"/>
    <d v="2024-10-12T00:00:00"/>
    <s v="C009"/>
    <s v="IT Support &amp; Maintenance"/>
    <x v="3"/>
    <n v="2"/>
    <n v="70000"/>
    <n v="30000"/>
    <n v="40000"/>
    <n v="0"/>
    <s v="Completed"/>
    <s v="Rohit Sharma"/>
    <s v="Cheque"/>
    <n v="24"/>
    <n v="57.14"/>
    <n v="35000"/>
    <x v="0"/>
  </r>
  <r>
    <s v="ORD1208"/>
    <d v="2024-11-11T00:00:00"/>
    <s v="C028"/>
    <s v="HR Management System"/>
    <x v="6"/>
    <n v="3"/>
    <n v="216000"/>
    <n v="105000"/>
    <n v="111000"/>
    <n v="10"/>
    <s v="Cancelled"/>
    <s v="Kavita Joshi"/>
    <s v="Credit Card"/>
    <n v="6"/>
    <n v="51.39"/>
    <n v="72000"/>
    <x v="0"/>
  </r>
  <r>
    <s v="ORD1209"/>
    <d v="2024-09-12T00:00:00"/>
    <s v="C015"/>
    <s v="Annual AMC Contract"/>
    <x v="3"/>
    <n v="3"/>
    <n v="119700"/>
    <n v="54000"/>
    <n v="65700"/>
    <n v="5"/>
    <s v="Completed"/>
    <s v="Priya Nair"/>
    <s v="UPI"/>
    <n v="24"/>
    <n v="54.89"/>
    <n v="39900"/>
    <x v="2"/>
  </r>
  <r>
    <s v="ORD1210"/>
    <d v="2024-11-11T00:00:00"/>
    <s v="C002"/>
    <s v="Cloud Migration Service"/>
    <x v="1"/>
    <n v="3"/>
    <n v="399000"/>
    <n v="180000"/>
    <n v="219000"/>
    <n v="5"/>
    <s v="In Progress"/>
    <s v="Sunita Pillai"/>
    <s v="Cheque"/>
    <n v="3"/>
    <n v="54.89"/>
    <n v="133000"/>
    <x v="2"/>
  </r>
  <r>
    <s v="ORD1211"/>
    <d v="2024-02-25T00:00:00"/>
    <s v="C029"/>
    <s v="Firewall &amp; Network Security"/>
    <x v="0"/>
    <n v="3"/>
    <n v="120000"/>
    <n v="60000"/>
    <n v="60000"/>
    <n v="20"/>
    <s v="Completed"/>
    <s v="Kavita Joshi"/>
    <s v="Bank Transfer"/>
    <n v="24"/>
    <n v="50"/>
    <n v="40000"/>
    <x v="0"/>
  </r>
  <r>
    <s v="ORD1212"/>
    <d v="2024-01-27T00:00:00"/>
    <s v="C007"/>
    <s v="AI/ML Model Development"/>
    <x v="4"/>
    <n v="5"/>
    <n v="1330000"/>
    <n v="600000"/>
    <n v="730000"/>
    <n v="5"/>
    <s v="Completed"/>
    <s v="Nikhil Gupta"/>
    <s v="Net Banking"/>
    <n v="24"/>
    <n v="54.89"/>
    <n v="266000"/>
    <x v="2"/>
  </r>
  <r>
    <s v="ORD1213"/>
    <d v="2024-12-15T00:00:00"/>
    <s v="C022"/>
    <s v="API Integration Service"/>
    <x v="5"/>
    <n v="1"/>
    <n v="88000"/>
    <n v="38000"/>
    <n v="50000"/>
    <n v="0"/>
    <s v="Completed"/>
    <s v="Nikhil Gupta"/>
    <s v="Cheque"/>
    <n v="12"/>
    <n v="56.82"/>
    <n v="88000"/>
    <x v="0"/>
  </r>
  <r>
    <s v="ORD1214"/>
    <d v="2024-10-12T00:00:00"/>
    <s v="C025"/>
    <s v="ERP Implementation"/>
    <x v="6"/>
    <n v="2"/>
    <n v="396000"/>
    <n v="180000"/>
    <n v="216000"/>
    <n v="10"/>
    <s v="In Progress"/>
    <s v="Nikhil Gupta"/>
    <s v="Net Banking"/>
    <n v="3"/>
    <n v="54.55"/>
    <n v="198000"/>
    <x v="1"/>
  </r>
  <r>
    <s v="ORD1215"/>
    <d v="2024-12-27T00:00:00"/>
    <s v="C011"/>
    <s v="Annual AMC Contract"/>
    <x v="3"/>
    <n v="5"/>
    <n v="199500"/>
    <n v="90000"/>
    <n v="109500"/>
    <n v="5"/>
    <s v="Completed"/>
    <s v="Pooja Singh"/>
    <s v="Net Banking"/>
    <n v="6"/>
    <n v="54.89"/>
    <n v="39900"/>
    <x v="0"/>
  </r>
  <r>
    <s v="ORD1216"/>
    <d v="2024-06-16T00:00:00"/>
    <s v="C011"/>
    <s v="HR Management System"/>
    <x v="6"/>
    <n v="4"/>
    <n v="288000"/>
    <n v="140000"/>
    <n v="148000"/>
    <n v="10"/>
    <s v="Cancelled"/>
    <s v="Sandeep Rao"/>
    <s v="Net Banking"/>
    <n v="12"/>
    <n v="51.39"/>
    <n v="72000"/>
    <x v="0"/>
  </r>
  <r>
    <s v="ORD1217"/>
    <d v="2024-09-16T00:00:00"/>
    <s v="C018"/>
    <s v="Annual AMC Contract"/>
    <x v="3"/>
    <n v="5"/>
    <n v="199500"/>
    <n v="90000"/>
    <n v="109500"/>
    <n v="5"/>
    <s v="Completed"/>
    <s v="Rohit Sharma"/>
    <s v="Cheque"/>
    <n v="12"/>
    <n v="54.89"/>
    <n v="39900"/>
    <x v="0"/>
  </r>
  <r>
    <s v="ORD1218"/>
    <d v="2024-11-19T00:00:00"/>
    <s v="C019"/>
    <s v="Data Analytics Dashboard"/>
    <x v="2"/>
    <n v="1"/>
    <n v="90000"/>
    <n v="45000"/>
    <n v="45000"/>
    <n v="10"/>
    <s v="Completed"/>
    <s v="Sandeep Rao"/>
    <s v="Net Banking"/>
    <n v="6"/>
    <n v="50"/>
    <n v="90000"/>
    <x v="1"/>
  </r>
  <r>
    <s v="ORD1219"/>
    <d v="2024-01-27T00:00:00"/>
    <s v="C006"/>
    <s v="Network Setup &amp; Config"/>
    <x v="3"/>
    <n v="5"/>
    <n v="208000"/>
    <n v="110000"/>
    <n v="98000"/>
    <n v="20"/>
    <s v="Completed"/>
    <s v="Amit Verma"/>
    <s v="Credit Card"/>
    <n v="3"/>
    <n v="47.12"/>
    <n v="41600"/>
    <x v="2"/>
  </r>
  <r>
    <s v="ORD1220"/>
    <d v="2024-10-20T00:00:00"/>
    <s v="C004"/>
    <s v="Cybersecurity Audit"/>
    <x v="0"/>
    <n v="1"/>
    <n v="57000"/>
    <n v="25000"/>
    <n v="32000"/>
    <n v="5"/>
    <s v="Completed"/>
    <s v="Nikhil Gupta"/>
    <s v="Credit Card"/>
    <n v="24"/>
    <n v="56.14"/>
    <n v="57000"/>
    <x v="1"/>
  </r>
  <r>
    <s v="ORD1221"/>
    <d v="2024-11-30T00:00:00"/>
    <s v="C025"/>
    <s v="API Integration Service"/>
    <x v="5"/>
    <n v="4"/>
    <n v="281600"/>
    <n v="152000"/>
    <n v="129600"/>
    <n v="20"/>
    <s v="Cancelled"/>
    <s v="Rohit Sharma"/>
    <s v="Credit Card"/>
    <n v="6"/>
    <n v="46.02"/>
    <n v="70400"/>
    <x v="1"/>
  </r>
  <r>
    <s v="ORD1222"/>
    <d v="2024-10-14T00:00:00"/>
    <s v="C022"/>
    <s v="Annual AMC Contract"/>
    <x v="3"/>
    <n v="5"/>
    <n v="199500"/>
    <n v="90000"/>
    <n v="109500"/>
    <n v="5"/>
    <s v="Completed"/>
    <s v="Amit Verma"/>
    <s v="UPI"/>
    <n v="12"/>
    <n v="54.89"/>
    <n v="39900"/>
    <x v="0"/>
  </r>
  <r>
    <s v="ORD1223"/>
    <d v="2024-10-06T00:00:00"/>
    <s v="C025"/>
    <s v="Firewall &amp; Network Security"/>
    <x v="0"/>
    <n v="5"/>
    <n v="237500"/>
    <n v="100000"/>
    <n v="137500"/>
    <n v="5"/>
    <s v="Completed"/>
    <s v="Deepa Iyer"/>
    <s v="Cheque"/>
    <n v="12"/>
    <n v="57.89"/>
    <n v="47500"/>
    <x v="1"/>
  </r>
  <r>
    <s v="ORD1224"/>
    <d v="2024-04-25T00:00:00"/>
    <s v="C010"/>
    <s v="Data Analytics Dashboard"/>
    <x v="2"/>
    <n v="2"/>
    <n v="170000"/>
    <n v="90000"/>
    <n v="80000"/>
    <n v="15"/>
    <s v="Cancelled"/>
    <s v="Sunita Pillai"/>
    <s v="Cheque"/>
    <n v="24"/>
    <n v="47.06"/>
    <n v="85000"/>
    <x v="0"/>
  </r>
  <r>
    <s v="ORD1225"/>
    <d v="2024-06-27T00:00:00"/>
    <s v="C030"/>
    <s v="Firewall &amp; Network Security"/>
    <x v="0"/>
    <n v="3"/>
    <n v="150000"/>
    <n v="60000"/>
    <n v="90000"/>
    <n v="0"/>
    <s v="In Progress"/>
    <s v="Arjun Mehta"/>
    <s v="UPI"/>
    <n v="24"/>
    <n v="60"/>
    <n v="50000"/>
    <x v="1"/>
  </r>
  <r>
    <s v="ORD1226"/>
    <d v="2024-06-25T00:00:00"/>
    <s v="C026"/>
    <s v="ERP Implementation"/>
    <x v="6"/>
    <n v="3"/>
    <n v="660000"/>
    <n v="270000"/>
    <n v="390000"/>
    <n v="0"/>
    <s v="Completed"/>
    <s v="Priya Nair"/>
    <s v="Cheque"/>
    <n v="24"/>
    <n v="59.09"/>
    <n v="220000"/>
    <x v="1"/>
  </r>
  <r>
    <s v="ORD1227"/>
    <d v="2024-11-27T00:00:00"/>
    <s v="C007"/>
    <s v="Cybersecurity Audit"/>
    <x v="0"/>
    <n v="5"/>
    <n v="285000"/>
    <n v="125000"/>
    <n v="160000"/>
    <n v="5"/>
    <s v="In Progress"/>
    <s v="Sandeep Rao"/>
    <s v="Credit Card"/>
    <n v="3"/>
    <n v="56.14"/>
    <n v="57000"/>
    <x v="2"/>
  </r>
  <r>
    <s v="ORD1228"/>
    <d v="2024-11-11T00:00:00"/>
    <s v="C008"/>
    <s v="Penetration Testing"/>
    <x v="0"/>
    <n v="1"/>
    <n v="59500"/>
    <n v="30000"/>
    <n v="29500"/>
    <n v="15"/>
    <s v="In Progress"/>
    <s v="Deepa Iyer"/>
    <s v="Credit Card"/>
    <n v="3"/>
    <n v="49.58"/>
    <n v="59500"/>
    <x v="1"/>
  </r>
  <r>
    <s v="ORD1229"/>
    <d v="2024-02-21T00:00:00"/>
    <s v="C023"/>
    <s v="Annual AMC Contract"/>
    <x v="3"/>
    <n v="1"/>
    <n v="35700"/>
    <n v="18000"/>
    <n v="17700"/>
    <n v="15"/>
    <s v="Completed"/>
    <s v="Rohit Sharma"/>
    <s v="Net Banking"/>
    <n v="6"/>
    <n v="49.58"/>
    <n v="35700"/>
    <x v="0"/>
  </r>
  <r>
    <s v="ORD1230"/>
    <d v="2024-07-27T00:00:00"/>
    <s v="C029"/>
    <s v="Annual AMC Contract"/>
    <x v="3"/>
    <n v="4"/>
    <n v="142800"/>
    <n v="72000"/>
    <n v="70800"/>
    <n v="15"/>
    <s v="Completed"/>
    <s v="Sandeep Rao"/>
    <s v="Cheque"/>
    <n v="12"/>
    <n v="49.58"/>
    <n v="35700"/>
    <x v="0"/>
  </r>
  <r>
    <s v="ORD1231"/>
    <d v="2024-10-08T00:00:00"/>
    <s v="C021"/>
    <s v="Web Portal Development"/>
    <x v="5"/>
    <n v="2"/>
    <n v="261000"/>
    <n v="120000"/>
    <n v="141000"/>
    <n v="10"/>
    <s v="Cancelled"/>
    <s v="Rohit Sharma"/>
    <s v="Credit Card"/>
    <n v="24"/>
    <n v="54.02"/>
    <n v="130500"/>
    <x v="2"/>
  </r>
  <r>
    <s v="ORD1232"/>
    <d v="2024-03-31T00:00:00"/>
    <s v="C002"/>
    <s v="Chatbot Development"/>
    <x v="4"/>
    <n v="4"/>
    <n v="520000"/>
    <n v="220000"/>
    <n v="300000"/>
    <n v="0"/>
    <s v="Cancelled"/>
    <s v="Sandeep Rao"/>
    <s v="Bank Transfer"/>
    <n v="3"/>
    <n v="57.69"/>
    <n v="130000"/>
    <x v="2"/>
  </r>
  <r>
    <s v="ORD1233"/>
    <d v="2024-06-01T00:00:00"/>
    <s v="C004"/>
    <s v="Business Intelligence Report"/>
    <x v="2"/>
    <n v="3"/>
    <n v="185250"/>
    <n v="84000"/>
    <n v="101250"/>
    <n v="5"/>
    <s v="Cancelled"/>
    <s v="Arjun Mehta"/>
    <s v="Net Banking"/>
    <n v="24"/>
    <n v="54.66"/>
    <n v="61750"/>
    <x v="1"/>
  </r>
  <r>
    <s v="ORD1234"/>
    <d v="2024-03-09T00:00:00"/>
    <s v="C015"/>
    <s v="Firewall &amp; Network Security"/>
    <x v="0"/>
    <n v="2"/>
    <n v="80000"/>
    <n v="40000"/>
    <n v="40000"/>
    <n v="20"/>
    <s v="Completed"/>
    <s v="Kavita Joshi"/>
    <s v="Credit Card"/>
    <n v="24"/>
    <n v="50"/>
    <n v="40000"/>
    <x v="2"/>
  </r>
  <r>
    <s v="ORD1235"/>
    <d v="2024-10-20T00:00:00"/>
    <s v="C001"/>
    <s v="Business Intelligence Report"/>
    <x v="2"/>
    <n v="3"/>
    <n v="175500"/>
    <n v="84000"/>
    <n v="91500"/>
    <n v="10"/>
    <s v="Cancelled"/>
    <s v="Deepa Iyer"/>
    <s v="Credit Card"/>
    <n v="24"/>
    <n v="52.14"/>
    <n v="58500"/>
    <x v="0"/>
  </r>
  <r>
    <s v="ORD1236"/>
    <d v="2024-08-06T00:00:00"/>
    <s v="C003"/>
    <s v="Chatbot Development"/>
    <x v="4"/>
    <n v="1"/>
    <n v="130000"/>
    <n v="55000"/>
    <n v="75000"/>
    <n v="0"/>
    <s v="Completed"/>
    <s v="Sunita Pillai"/>
    <s v="Cheque"/>
    <n v="6"/>
    <n v="57.69"/>
    <n v="130000"/>
    <x v="0"/>
  </r>
  <r>
    <s v="ORD1237"/>
    <d v="2024-10-27T00:00:00"/>
    <s v="C015"/>
    <s v="Firewall &amp; Network Security"/>
    <x v="0"/>
    <n v="3"/>
    <n v="142500"/>
    <n v="60000"/>
    <n v="82500"/>
    <n v="5"/>
    <s v="In Progress"/>
    <s v="Pooja Singh"/>
    <s v="Bank Transfer"/>
    <n v="12"/>
    <n v="57.89"/>
    <n v="47500"/>
    <x v="2"/>
  </r>
  <r>
    <s v="ORD1238"/>
    <d v="2024-11-30T00:00:00"/>
    <s v="C008"/>
    <s v="Cloud Migration Service"/>
    <x v="1"/>
    <n v="1"/>
    <n v="133000"/>
    <n v="60000"/>
    <n v="73000"/>
    <n v="5"/>
    <s v="Completed"/>
    <s v="Amit Verma"/>
    <s v="UPI"/>
    <n v="12"/>
    <n v="54.89"/>
    <n v="133000"/>
    <x v="1"/>
  </r>
  <r>
    <s v="ORD1239"/>
    <d v="2024-11-03T00:00:00"/>
    <s v="C012"/>
    <s v="API Integration Service"/>
    <x v="5"/>
    <n v="2"/>
    <n v="176000"/>
    <n v="76000"/>
    <n v="100000"/>
    <n v="0"/>
    <s v="Completed"/>
    <s v="Sunita Pillai"/>
    <s v="Credit Card"/>
    <n v="24"/>
    <n v="56.82"/>
    <n v="88000"/>
    <x v="1"/>
  </r>
  <r>
    <s v="ORD1240"/>
    <d v="2024-11-06T00:00:00"/>
    <s v="C023"/>
    <s v="Mobile App Development"/>
    <x v="5"/>
    <n v="4"/>
    <n v="640000"/>
    <n v="340000"/>
    <n v="300000"/>
    <n v="20"/>
    <s v="In Progress"/>
    <s v="Deepa Iyer"/>
    <s v="Credit Card"/>
    <n v="3"/>
    <n v="46.88"/>
    <n v="160000"/>
    <x v="0"/>
  </r>
  <r>
    <s v="ORD1241"/>
    <d v="2024-09-26T00:00:00"/>
    <s v="C023"/>
    <s v="AI/ML Model Development"/>
    <x v="4"/>
    <n v="1"/>
    <n v="252000"/>
    <n v="120000"/>
    <n v="132000"/>
    <n v="10"/>
    <s v="Completed"/>
    <s v="Rohit Sharma"/>
    <s v="Net Banking"/>
    <n v="6"/>
    <n v="52.38"/>
    <n v="252000"/>
    <x v="0"/>
  </r>
  <r>
    <s v="ORD1242"/>
    <d v="2024-10-20T00:00:00"/>
    <s v="C006"/>
    <s v="Business Intelligence Report"/>
    <x v="2"/>
    <n v="5"/>
    <n v="308750"/>
    <n v="140000"/>
    <n v="168750"/>
    <n v="5"/>
    <s v="Completed"/>
    <s v="Deepa Iyer"/>
    <s v="Net Banking"/>
    <n v="24"/>
    <n v="54.66"/>
    <n v="61750"/>
    <x v="2"/>
  </r>
  <r>
    <s v="ORD1243"/>
    <d v="2024-02-16T00:00:00"/>
    <s v="C015"/>
    <s v="Cloud Migration Service"/>
    <x v="1"/>
    <n v="4"/>
    <n v="560000"/>
    <n v="240000"/>
    <n v="320000"/>
    <n v="0"/>
    <s v="In Progress"/>
    <s v="Nikhil Gupta"/>
    <s v="UPI"/>
    <n v="3"/>
    <n v="57.14"/>
    <n v="140000"/>
    <x v="2"/>
  </r>
  <r>
    <s v="ORD1244"/>
    <d v="2024-10-13T00:00:00"/>
    <s v="C026"/>
    <s v="Data Analytics Dashboard"/>
    <x v="2"/>
    <n v="1"/>
    <n v="95000"/>
    <n v="45000"/>
    <n v="50000"/>
    <n v="5"/>
    <s v="Completed"/>
    <s v="Rohit Sharma"/>
    <s v="Credit Card"/>
    <n v="3"/>
    <n v="52.63"/>
    <n v="95000"/>
    <x v="1"/>
  </r>
  <r>
    <s v="ORD1245"/>
    <d v="2024-01-24T00:00:00"/>
    <s v="C023"/>
    <s v="AWS Management Package"/>
    <x v="1"/>
    <n v="5"/>
    <n v="600000"/>
    <n v="250000"/>
    <n v="350000"/>
    <n v="0"/>
    <s v="Completed"/>
    <s v="Sunita Pillai"/>
    <s v="Bank Transfer"/>
    <n v="12"/>
    <n v="58.33"/>
    <n v="120000"/>
    <x v="0"/>
  </r>
  <r>
    <s v="ORD1246"/>
    <d v="2024-10-14T00:00:00"/>
    <s v="C025"/>
    <s v="RPA Implementation"/>
    <x v="4"/>
    <n v="3"/>
    <n v="456000"/>
    <n v="210000"/>
    <n v="246000"/>
    <n v="5"/>
    <s v="Completed"/>
    <s v="Nikhil Gupta"/>
    <s v="UPI"/>
    <n v="3"/>
    <n v="53.95"/>
    <n v="152000"/>
    <x v="1"/>
  </r>
  <r>
    <s v="ORD1247"/>
    <d v="2024-12-15T00:00:00"/>
    <s v="C028"/>
    <s v="Mobile App Development"/>
    <x v="5"/>
    <n v="2"/>
    <n v="340000"/>
    <n v="170000"/>
    <n v="170000"/>
    <n v="15"/>
    <s v="Completed"/>
    <s v="Priya Nair"/>
    <s v="Credit Card"/>
    <n v="24"/>
    <n v="50"/>
    <n v="170000"/>
    <x v="0"/>
  </r>
  <r>
    <s v="ORD1248"/>
    <d v="2024-10-25T00:00:00"/>
    <s v="C027"/>
    <s v="Cloud Infrastructure Setup"/>
    <x v="1"/>
    <n v="1"/>
    <n v="171000"/>
    <n v="80000"/>
    <n v="91000"/>
    <n v="5"/>
    <s v="Completed"/>
    <s v="Arjun Mehta"/>
    <s v="UPI"/>
    <n v="24"/>
    <n v="53.22"/>
    <n v="171000"/>
    <x v="1"/>
  </r>
  <r>
    <s v="ORD1249"/>
    <d v="2024-11-10T00:00:00"/>
    <s v="C005"/>
    <s v="Firewall &amp; Network Security"/>
    <x v="0"/>
    <n v="2"/>
    <n v="85000"/>
    <n v="40000"/>
    <n v="45000"/>
    <n v="15"/>
    <s v="Completed"/>
    <s v="Rohit Sharma"/>
    <s v="UPI"/>
    <n v="3"/>
    <n v="52.94"/>
    <n v="42500"/>
    <x v="2"/>
  </r>
  <r>
    <s v="ORD1250"/>
    <d v="2024-10-09T00:00:00"/>
    <s v="C020"/>
    <s v="Cloud Migration Service"/>
    <x v="1"/>
    <n v="4"/>
    <n v="504000"/>
    <n v="240000"/>
    <n v="264000"/>
    <n v="10"/>
    <s v="Cancelled"/>
    <s v="Rohit Sharma"/>
    <s v="Credit Card"/>
    <n v="3"/>
    <n v="52.38"/>
    <n v="126000"/>
    <x v="1"/>
  </r>
  <r>
    <s v="ORD1251"/>
    <d v="2024-07-24T00:00:00"/>
    <s v="C018"/>
    <s v="Cybersecurity Audit"/>
    <x v="0"/>
    <n v="1"/>
    <n v="60000"/>
    <n v="25000"/>
    <n v="35000"/>
    <n v="0"/>
    <s v="In Progress"/>
    <s v="Sandeep Rao"/>
    <s v="Credit Card"/>
    <n v="12"/>
    <n v="58.33"/>
    <n v="60000"/>
    <x v="0"/>
  </r>
  <r>
    <s v="ORD1252"/>
    <d v="2024-10-22T00:00:00"/>
    <s v="C022"/>
    <s v="Business Intelligence Report"/>
    <x v="2"/>
    <n v="2"/>
    <n v="123500"/>
    <n v="56000"/>
    <n v="67500"/>
    <n v="5"/>
    <s v="Completed"/>
    <s v="Arjun Mehta"/>
    <s v="Credit Card"/>
    <n v="24"/>
    <n v="54.66"/>
    <n v="61750"/>
    <x v="0"/>
  </r>
  <r>
    <s v="ORD1253"/>
    <d v="2024-12-07T00:00:00"/>
    <s v="C019"/>
    <s v="HR Management System"/>
    <x v="6"/>
    <n v="4"/>
    <n v="288000"/>
    <n v="140000"/>
    <n v="148000"/>
    <n v="10"/>
    <s v="Completed"/>
    <s v="Rohit Sharma"/>
    <s v="Cheque"/>
    <n v="24"/>
    <n v="51.39"/>
    <n v="72000"/>
    <x v="1"/>
  </r>
  <r>
    <s v="ORD1254"/>
    <d v="2024-09-25T00:00:00"/>
    <s v="C014"/>
    <s v="RPA Implementation"/>
    <x v="4"/>
    <n v="2"/>
    <n v="304000"/>
    <n v="140000"/>
    <n v="164000"/>
    <n v="5"/>
    <s v="Completed"/>
    <s v="Amit Verma"/>
    <s v="Net Banking"/>
    <n v="24"/>
    <n v="53.95"/>
    <n v="152000"/>
    <x v="0"/>
  </r>
  <r>
    <s v="ORD1255"/>
    <d v="2024-05-03T00:00:00"/>
    <s v="C010"/>
    <s v="ERP Implementation"/>
    <x v="6"/>
    <n v="4"/>
    <n v="880000"/>
    <n v="360000"/>
    <n v="520000"/>
    <n v="0"/>
    <s v="In Progress"/>
    <s v="Nikhil Gupta"/>
    <s v="UPI"/>
    <n v="6"/>
    <n v="59.09"/>
    <n v="220000"/>
    <x v="0"/>
  </r>
  <r>
    <s v="ORD1256"/>
    <d v="2024-10-23T00:00:00"/>
    <s v="C011"/>
    <s v="AWS Management Package"/>
    <x v="1"/>
    <n v="4"/>
    <n v="384000"/>
    <n v="200000"/>
    <n v="184000"/>
    <n v="20"/>
    <s v="Completed"/>
    <s v="Priya Nair"/>
    <s v="Net Banking"/>
    <n v="6"/>
    <n v="47.92"/>
    <n v="96000"/>
    <x v="0"/>
  </r>
  <r>
    <s v="ORD1257"/>
    <d v="2024-12-22T00:00:00"/>
    <s v="C020"/>
    <s v="API Integration Service"/>
    <x v="5"/>
    <n v="1"/>
    <n v="70400"/>
    <n v="38000"/>
    <n v="32400"/>
    <n v="20"/>
    <s v="Completed"/>
    <s v="Deepa Iyer"/>
    <s v="Net Banking"/>
    <n v="6"/>
    <n v="46.02"/>
    <n v="70400"/>
    <x v="1"/>
  </r>
  <r>
    <s v="ORD1258"/>
    <d v="2024-11-08T00:00:00"/>
    <s v="C010"/>
    <s v="Cloud Infrastructure Setup"/>
    <x v="1"/>
    <n v="2"/>
    <n v="360000"/>
    <n v="160000"/>
    <n v="200000"/>
    <n v="0"/>
    <s v="Cancelled"/>
    <s v="Priya Nair"/>
    <s v="UPI"/>
    <n v="6"/>
    <n v="55.56"/>
    <n v="180000"/>
    <x v="0"/>
  </r>
  <r>
    <s v="ORD1259"/>
    <d v="2024-12-22T00:00:00"/>
    <s v="C007"/>
    <s v="Chatbot Development"/>
    <x v="4"/>
    <n v="2"/>
    <n v="234000"/>
    <n v="110000"/>
    <n v="124000"/>
    <n v="10"/>
    <s v="Completed"/>
    <s v="Sandeep Rao"/>
    <s v="UPI"/>
    <n v="24"/>
    <n v="52.99"/>
    <n v="117000"/>
    <x v="2"/>
  </r>
  <r>
    <s v="ORD1260"/>
    <d v="2024-09-30T00:00:00"/>
    <s v="C010"/>
    <s v="Firewall &amp; Network Security"/>
    <x v="0"/>
    <n v="3"/>
    <n v="135000"/>
    <n v="60000"/>
    <n v="75000"/>
    <n v="10"/>
    <s v="Completed"/>
    <s v="Sunita Pillai"/>
    <s v="Bank Transfer"/>
    <n v="24"/>
    <n v="55.56"/>
    <n v="45000"/>
    <x v="0"/>
  </r>
  <r>
    <s v="ORD1261"/>
    <d v="2024-06-12T00:00:00"/>
    <s v="C012"/>
    <s v="Business Intelligence Report"/>
    <x v="2"/>
    <n v="4"/>
    <n v="260000"/>
    <n v="112000"/>
    <n v="148000"/>
    <n v="0"/>
    <s v="In Progress"/>
    <s v="Deepa Iyer"/>
    <s v="Credit Card"/>
    <n v="3"/>
    <n v="56.92"/>
    <n v="65000"/>
    <x v="1"/>
  </r>
  <r>
    <s v="ORD1262"/>
    <d v="2024-05-13T00:00:00"/>
    <s v="C019"/>
    <s v="Web Portal Development"/>
    <x v="5"/>
    <n v="4"/>
    <n v="551000"/>
    <n v="240000"/>
    <n v="311000"/>
    <n v="5"/>
    <s v="Completed"/>
    <s v="Deepa Iyer"/>
    <s v="Cheque"/>
    <n v="6"/>
    <n v="56.44"/>
    <n v="137750"/>
    <x v="1"/>
  </r>
  <r>
    <s v="ORD1263"/>
    <d v="2024-07-13T00:00:00"/>
    <s v="C008"/>
    <s v="Annual AMC Contract"/>
    <x v="3"/>
    <n v="5"/>
    <n v="178500"/>
    <n v="90000"/>
    <n v="88500"/>
    <n v="15"/>
    <s v="Cancelled"/>
    <s v="Kavita Joshi"/>
    <s v="Cheque"/>
    <n v="24"/>
    <n v="49.58"/>
    <n v="35700"/>
    <x v="1"/>
  </r>
  <r>
    <s v="ORD1264"/>
    <d v="2024-11-24T00:00:00"/>
    <s v="C015"/>
    <s v="HR Management System"/>
    <x v="6"/>
    <n v="3"/>
    <n v="240000"/>
    <n v="105000"/>
    <n v="135000"/>
    <n v="0"/>
    <s v="Completed"/>
    <s v="Arjun Mehta"/>
    <s v="UPI"/>
    <n v="6"/>
    <n v="56.25"/>
    <n v="80000"/>
    <x v="2"/>
  </r>
  <r>
    <s v="ORD1265"/>
    <d v="2024-10-04T00:00:00"/>
    <s v="C002"/>
    <s v="Network Setup &amp; Config"/>
    <x v="3"/>
    <n v="1"/>
    <n v="41600"/>
    <n v="22000"/>
    <n v="19600"/>
    <n v="20"/>
    <s v="Completed"/>
    <s v="Rohit Sharma"/>
    <s v="Bank Transfer"/>
    <n v="24"/>
    <n v="47.12"/>
    <n v="41600"/>
    <x v="2"/>
  </r>
  <r>
    <s v="ORD1266"/>
    <d v="2024-03-11T00:00:00"/>
    <s v="C008"/>
    <s v="AWS Management Package"/>
    <x v="1"/>
    <n v="2"/>
    <n v="240000"/>
    <n v="100000"/>
    <n v="140000"/>
    <n v="0"/>
    <s v="Completed"/>
    <s v="Arjun Mehta"/>
    <s v="UPI"/>
    <n v="12"/>
    <n v="58.33"/>
    <n v="120000"/>
    <x v="1"/>
  </r>
  <r>
    <s v="ORD1267"/>
    <d v="2024-01-31T00:00:00"/>
    <s v="C022"/>
    <s v="API Integration Service"/>
    <x v="5"/>
    <n v="4"/>
    <n v="299200"/>
    <n v="152000"/>
    <n v="147200"/>
    <n v="15"/>
    <s v="Completed"/>
    <s v="Rohit Sharma"/>
    <s v="Bank Transfer"/>
    <n v="24"/>
    <n v="49.2"/>
    <n v="74800"/>
    <x v="0"/>
  </r>
  <r>
    <s v="ORD1268"/>
    <d v="2024-12-28T00:00:00"/>
    <s v="C009"/>
    <s v="Mobile App Development"/>
    <x v="5"/>
    <n v="3"/>
    <n v="600000"/>
    <n v="255000"/>
    <n v="345000"/>
    <n v="0"/>
    <s v="In Progress"/>
    <s v="Nikhil Gupta"/>
    <s v="Credit Card"/>
    <n v="3"/>
    <n v="57.5"/>
    <n v="200000"/>
    <x v="0"/>
  </r>
  <r>
    <s v="ORD1269"/>
    <d v="2024-02-19T00:00:00"/>
    <s v="C008"/>
    <s v="Cybersecurity Audit"/>
    <x v="0"/>
    <n v="5"/>
    <n v="270000"/>
    <n v="125000"/>
    <n v="145000"/>
    <n v="10"/>
    <s v="Completed"/>
    <s v="Kavita Joshi"/>
    <s v="Cheque"/>
    <n v="24"/>
    <n v="53.7"/>
    <n v="54000"/>
    <x v="1"/>
  </r>
  <r>
    <s v="ORD1270"/>
    <d v="2024-02-10T00:00:00"/>
    <s v="C013"/>
    <s v="IT Support &amp; Maintenance"/>
    <x v="3"/>
    <n v="5"/>
    <n v="175000"/>
    <n v="75000"/>
    <n v="100000"/>
    <n v="0"/>
    <s v="Cancelled"/>
    <s v="Deepa Iyer"/>
    <s v="Cheque"/>
    <n v="3"/>
    <n v="57.14"/>
    <n v="35000"/>
    <x v="1"/>
  </r>
  <r>
    <s v="ORD1271"/>
    <d v="2024-11-30T00:00:00"/>
    <s v="C021"/>
    <s v="Cloud Migration Service"/>
    <x v="1"/>
    <n v="1"/>
    <n v="133000"/>
    <n v="60000"/>
    <n v="73000"/>
    <n v="5"/>
    <s v="Completed"/>
    <s v="Nikhil Gupta"/>
    <s v="Net Banking"/>
    <n v="24"/>
    <n v="54.89"/>
    <n v="133000"/>
    <x v="2"/>
  </r>
  <r>
    <s v="ORD1272"/>
    <d v="2024-01-29T00:00:00"/>
    <s v="C023"/>
    <s v="HR Management System"/>
    <x v="6"/>
    <n v="1"/>
    <n v="76000"/>
    <n v="35000"/>
    <n v="41000"/>
    <n v="5"/>
    <s v="Completed"/>
    <s v="Kavita Joshi"/>
    <s v="Net Banking"/>
    <n v="3"/>
    <n v="53.95"/>
    <n v="76000"/>
    <x v="0"/>
  </r>
  <r>
    <s v="ORD1273"/>
    <d v="2024-09-27T00:00:00"/>
    <s v="C008"/>
    <s v="Cybersecurity Audit"/>
    <x v="0"/>
    <n v="5"/>
    <n v="285000"/>
    <n v="125000"/>
    <n v="160000"/>
    <n v="5"/>
    <s v="Completed"/>
    <s v="Rohit Sharma"/>
    <s v="Bank Transfer"/>
    <n v="12"/>
    <n v="56.14"/>
    <n v="57000"/>
    <x v="1"/>
  </r>
  <r>
    <s v="ORD1274"/>
    <d v="2024-10-05T00:00:00"/>
    <s v="C002"/>
    <s v="HR Management System"/>
    <x v="6"/>
    <n v="3"/>
    <n v="240000"/>
    <n v="105000"/>
    <n v="135000"/>
    <n v="0"/>
    <s v="Completed"/>
    <s v="Pooja Singh"/>
    <s v="Credit Card"/>
    <n v="24"/>
    <n v="56.25"/>
    <n v="80000"/>
    <x v="2"/>
  </r>
  <r>
    <s v="ORD1275"/>
    <d v="2024-12-08T00:00:00"/>
    <s v="C008"/>
    <s v="Web Portal Development"/>
    <x v="5"/>
    <n v="4"/>
    <n v="493000"/>
    <n v="240000"/>
    <n v="253000"/>
    <n v="15"/>
    <s v="In Progress"/>
    <s v="Kavita Joshi"/>
    <s v="UPI"/>
    <n v="6"/>
    <n v="51.32"/>
    <n v="123250"/>
    <x v="1"/>
  </r>
  <r>
    <s v="ORD1276"/>
    <d v="2024-12-18T00:00:00"/>
    <s v="C017"/>
    <s v="AI/ML Model Development"/>
    <x v="4"/>
    <n v="1"/>
    <n v="280000"/>
    <n v="120000"/>
    <n v="160000"/>
    <n v="0"/>
    <s v="Completed"/>
    <s v="Deepa Iyer"/>
    <s v="Bank Transfer"/>
    <n v="12"/>
    <n v="57.14"/>
    <n v="280000"/>
    <x v="0"/>
  </r>
  <r>
    <s v="ORD1277"/>
    <d v="2024-11-05T00:00:00"/>
    <s v="C020"/>
    <s v="Chatbot Development"/>
    <x v="4"/>
    <n v="3"/>
    <n v="390000"/>
    <n v="165000"/>
    <n v="225000"/>
    <n v="0"/>
    <s v="Cancelled"/>
    <s v="Sandeep Rao"/>
    <s v="UPI"/>
    <n v="24"/>
    <n v="57.69"/>
    <n v="130000"/>
    <x v="1"/>
  </r>
  <r>
    <s v="ORD1278"/>
    <d v="2024-04-26T00:00:00"/>
    <s v="C013"/>
    <s v="RPA Implementation"/>
    <x v="4"/>
    <n v="2"/>
    <n v="272000"/>
    <n v="140000"/>
    <n v="132000"/>
    <n v="15"/>
    <s v="In Progress"/>
    <s v="Nikhil Gupta"/>
    <s v="Bank Transfer"/>
    <n v="12"/>
    <n v="48.53"/>
    <n v="136000"/>
    <x v="1"/>
  </r>
  <r>
    <s v="ORD1279"/>
    <d v="2024-05-06T00:00:00"/>
    <s v="C003"/>
    <s v="Firewall &amp; Network Security"/>
    <x v="0"/>
    <n v="2"/>
    <n v="95000"/>
    <n v="40000"/>
    <n v="55000"/>
    <n v="5"/>
    <s v="Cancelled"/>
    <s v="Amit Verma"/>
    <s v="UPI"/>
    <n v="12"/>
    <n v="57.89"/>
    <n v="47500"/>
    <x v="0"/>
  </r>
  <r>
    <s v="ORD1280"/>
    <d v="2024-09-27T00:00:00"/>
    <s v="C010"/>
    <s v="IT Support &amp; Maintenance"/>
    <x v="3"/>
    <n v="3"/>
    <n v="84000"/>
    <n v="45000"/>
    <n v="39000"/>
    <n v="20"/>
    <s v="Completed"/>
    <s v="Priya Nair"/>
    <s v="Credit Card"/>
    <n v="3"/>
    <n v="46.43"/>
    <n v="28000"/>
    <x v="0"/>
  </r>
  <r>
    <s v="ORD1281"/>
    <d v="2024-04-05T00:00:00"/>
    <s v="C018"/>
    <s v="Mobile App Development"/>
    <x v="5"/>
    <n v="5"/>
    <n v="950000"/>
    <n v="425000"/>
    <n v="525000"/>
    <n v="5"/>
    <s v="Completed"/>
    <s v="Rohit Sharma"/>
    <s v="Bank Transfer"/>
    <n v="12"/>
    <n v="55.26"/>
    <n v="190000"/>
    <x v="0"/>
  </r>
  <r>
    <s v="ORD1282"/>
    <d v="2024-12-12T00:00:00"/>
    <s v="C026"/>
    <s v="Business Intelligence Report"/>
    <x v="2"/>
    <n v="4"/>
    <n v="260000"/>
    <n v="112000"/>
    <n v="148000"/>
    <n v="0"/>
    <s v="Completed"/>
    <s v="Nikhil Gupta"/>
    <s v="UPI"/>
    <n v="3"/>
    <n v="56.92"/>
    <n v="65000"/>
    <x v="1"/>
  </r>
  <r>
    <s v="ORD1283"/>
    <d v="2024-10-13T00:00:00"/>
    <s v="C008"/>
    <s v="Web Portal Development"/>
    <x v="5"/>
    <n v="5"/>
    <n v="725000"/>
    <n v="300000"/>
    <n v="425000"/>
    <n v="0"/>
    <s v="Cancelled"/>
    <s v="Nikhil Gupta"/>
    <s v="Credit Card"/>
    <n v="6"/>
    <n v="58.62"/>
    <n v="145000"/>
    <x v="1"/>
  </r>
  <r>
    <s v="ORD1284"/>
    <d v="2024-05-17T00:00:00"/>
    <s v="C016"/>
    <s v="ERP Implementation"/>
    <x v="6"/>
    <n v="1"/>
    <n v="220000"/>
    <n v="90000"/>
    <n v="130000"/>
    <n v="0"/>
    <s v="Completed"/>
    <s v="Sandeep Rao"/>
    <s v="UPI"/>
    <n v="12"/>
    <n v="59.09"/>
    <n v="220000"/>
    <x v="0"/>
  </r>
  <r>
    <s v="ORD1285"/>
    <d v="2024-09-04T00:00:00"/>
    <s v="C012"/>
    <s v="Firewall &amp; Network Security"/>
    <x v="0"/>
    <n v="2"/>
    <n v="85000"/>
    <n v="40000"/>
    <n v="45000"/>
    <n v="15"/>
    <s v="Cancelled"/>
    <s v="Sunita Pillai"/>
    <s v="Net Banking"/>
    <n v="6"/>
    <n v="52.94"/>
    <n v="42500"/>
    <x v="1"/>
  </r>
  <r>
    <s v="ORD1286"/>
    <d v="2024-11-04T00:00:00"/>
    <s v="C001"/>
    <s v="Chatbot Development"/>
    <x v="4"/>
    <n v="3"/>
    <n v="312000"/>
    <n v="165000"/>
    <n v="147000"/>
    <n v="20"/>
    <s v="In Progress"/>
    <s v="Nikhil Gupta"/>
    <s v="Cheque"/>
    <n v="24"/>
    <n v="47.12"/>
    <n v="104000"/>
    <x v="0"/>
  </r>
  <r>
    <s v="ORD1287"/>
    <d v="2024-06-20T00:00:00"/>
    <s v="C027"/>
    <s v="API Integration Service"/>
    <x v="5"/>
    <n v="2"/>
    <n v="167200"/>
    <n v="76000"/>
    <n v="91200"/>
    <n v="5"/>
    <s v="Completed"/>
    <s v="Pooja Singh"/>
    <s v="Credit Card"/>
    <n v="24"/>
    <n v="54.55"/>
    <n v="83600"/>
    <x v="1"/>
  </r>
  <r>
    <s v="ORD1288"/>
    <d v="2024-11-16T00:00:00"/>
    <s v="C011"/>
    <s v="Data Analytics Dashboard"/>
    <x v="2"/>
    <n v="4"/>
    <n v="360000"/>
    <n v="180000"/>
    <n v="180000"/>
    <n v="10"/>
    <s v="Completed"/>
    <s v="Kavita Joshi"/>
    <s v="UPI"/>
    <n v="12"/>
    <n v="50"/>
    <n v="90000"/>
    <x v="0"/>
  </r>
  <r>
    <s v="ORD1289"/>
    <d v="2024-07-20T00:00:00"/>
    <s v="C030"/>
    <s v="Web Portal Development"/>
    <x v="5"/>
    <n v="2"/>
    <n v="261000"/>
    <n v="120000"/>
    <n v="141000"/>
    <n v="10"/>
    <s v="In Progress"/>
    <s v="Amit Verma"/>
    <s v="Net Banking"/>
    <n v="3"/>
    <n v="54.02"/>
    <n v="130500"/>
    <x v="1"/>
  </r>
  <r>
    <s v="ORD1290"/>
    <d v="2024-08-24T00:00:00"/>
    <s v="C007"/>
    <s v="IT Support &amp; Maintenance"/>
    <x v="3"/>
    <n v="3"/>
    <n v="84000"/>
    <n v="45000"/>
    <n v="39000"/>
    <n v="20"/>
    <s v="Cancelled"/>
    <s v="Priya Nair"/>
    <s v="UPI"/>
    <n v="24"/>
    <n v="46.43"/>
    <n v="28000"/>
    <x v="2"/>
  </r>
  <r>
    <s v="ORD1291"/>
    <d v="2024-03-12T00:00:00"/>
    <s v="C008"/>
    <s v="Firewall &amp; Network Security"/>
    <x v="0"/>
    <n v="2"/>
    <n v="85000"/>
    <n v="40000"/>
    <n v="45000"/>
    <n v="15"/>
    <s v="Completed"/>
    <s v="Nikhil Gupta"/>
    <s v="Bank Transfer"/>
    <n v="24"/>
    <n v="52.94"/>
    <n v="42500"/>
    <x v="1"/>
  </r>
  <r>
    <s v="ORD1292"/>
    <d v="2024-11-02T00:00:00"/>
    <s v="C013"/>
    <s v="Mobile App Development"/>
    <x v="5"/>
    <n v="5"/>
    <n v="800000"/>
    <n v="425000"/>
    <n v="375000"/>
    <n v="20"/>
    <s v="Cancelled"/>
    <s v="Nikhil Gupta"/>
    <s v="Net Banking"/>
    <n v="3"/>
    <n v="46.88"/>
    <n v="160000"/>
    <x v="1"/>
  </r>
  <r>
    <s v="ORD1293"/>
    <d v="2024-07-03T00:00:00"/>
    <s v="C026"/>
    <s v="Mobile App Development"/>
    <x v="5"/>
    <n v="5"/>
    <n v="850000"/>
    <n v="425000"/>
    <n v="425000"/>
    <n v="15"/>
    <s v="Completed"/>
    <s v="Priya Nair"/>
    <s v="Credit Card"/>
    <n v="12"/>
    <n v="50"/>
    <n v="170000"/>
    <x v="1"/>
  </r>
  <r>
    <s v="ORD1294"/>
    <d v="2024-03-26T00:00:00"/>
    <s v="C002"/>
    <s v="Web Portal Development"/>
    <x v="5"/>
    <n v="4"/>
    <n v="464000"/>
    <n v="240000"/>
    <n v="224000"/>
    <n v="20"/>
    <s v="Completed"/>
    <s v="Nikhil Gupta"/>
    <s v="Bank Transfer"/>
    <n v="3"/>
    <n v="48.28"/>
    <n v="116000"/>
    <x v="2"/>
  </r>
  <r>
    <s v="ORD1295"/>
    <d v="2024-12-01T00:00:00"/>
    <s v="C024"/>
    <s v="Network Setup &amp; Config"/>
    <x v="3"/>
    <n v="5"/>
    <n v="234000"/>
    <n v="110000"/>
    <n v="124000"/>
    <n v="10"/>
    <s v="Cancelled"/>
    <s v="Pooja Singh"/>
    <s v="Credit Card"/>
    <n v="24"/>
    <n v="52.99"/>
    <n v="46800"/>
    <x v="1"/>
  </r>
  <r>
    <s v="ORD1296"/>
    <d v="2024-07-10T00:00:00"/>
    <s v="C025"/>
    <s v="Web Portal Development"/>
    <x v="5"/>
    <n v="5"/>
    <n v="725000"/>
    <n v="300000"/>
    <n v="425000"/>
    <n v="0"/>
    <s v="Completed"/>
    <s v="Rohit Sharma"/>
    <s v="UPI"/>
    <n v="3"/>
    <n v="58.62"/>
    <n v="145000"/>
    <x v="1"/>
  </r>
  <r>
    <s v="ORD1297"/>
    <d v="2024-05-31T00:00:00"/>
    <s v="C003"/>
    <s v="Enterprise CRM Software"/>
    <x v="6"/>
    <n v="2"/>
    <n v="180500"/>
    <n v="80000"/>
    <n v="100500"/>
    <n v="5"/>
    <s v="Completed"/>
    <s v="Kavita Joshi"/>
    <s v="UPI"/>
    <n v="6"/>
    <n v="55.68"/>
    <n v="90250"/>
    <x v="0"/>
  </r>
  <r>
    <s v="ORD1298"/>
    <d v="2024-09-23T00:00:00"/>
    <s v="C016"/>
    <s v="Enterprise CRM Software"/>
    <x v="6"/>
    <n v="4"/>
    <n v="323000"/>
    <n v="160000"/>
    <n v="163000"/>
    <n v="15"/>
    <s v="Cancelled"/>
    <s v="Sunita Pillai"/>
    <s v="Cheque"/>
    <n v="3"/>
    <n v="50.46"/>
    <n v="80750"/>
    <x v="0"/>
  </r>
  <r>
    <s v="ORD1299"/>
    <d v="2024-12-26T00:00:00"/>
    <s v="C004"/>
    <s v="Cloud Infrastructure Setup"/>
    <x v="1"/>
    <n v="3"/>
    <n v="459000"/>
    <n v="240000"/>
    <n v="219000"/>
    <n v="15"/>
    <s v="Completed"/>
    <s v="Amit Verma"/>
    <s v="Credit Card"/>
    <n v="6"/>
    <n v="47.71"/>
    <n v="153000"/>
    <x v="1"/>
  </r>
  <r>
    <s v="ORD1300"/>
    <d v="2024-12-07T00:00:00"/>
    <s v="C014"/>
    <s v="IT Support &amp; Maintenance"/>
    <x v="3"/>
    <n v="2"/>
    <n v="56000"/>
    <n v="30000"/>
    <n v="26000"/>
    <n v="20"/>
    <s v="Completed"/>
    <s v="Amit Verma"/>
    <s v="Credit Card"/>
    <n v="24"/>
    <n v="46.43"/>
    <n v="28000"/>
    <x v="0"/>
  </r>
  <r>
    <s v="ORD1301"/>
    <d v="2024-12-14T00:00:00"/>
    <s v="C029"/>
    <s v="Cybersecurity Audit"/>
    <x v="0"/>
    <n v="4"/>
    <n v="216000"/>
    <n v="100000"/>
    <n v="116000"/>
    <n v="10"/>
    <s v="Completed"/>
    <s v="Nikhil Gupta"/>
    <s v="Bank Transfer"/>
    <n v="6"/>
    <n v="53.7"/>
    <n v="54000"/>
    <x v="0"/>
  </r>
  <r>
    <s v="ORD1302"/>
    <d v="2024-12-26T00:00:00"/>
    <s v="C026"/>
    <s v="AWS Management Package"/>
    <x v="1"/>
    <n v="5"/>
    <n v="600000"/>
    <n v="250000"/>
    <n v="350000"/>
    <n v="0"/>
    <s v="In Progress"/>
    <s v="Amit Verma"/>
    <s v="Cheque"/>
    <n v="12"/>
    <n v="58.33"/>
    <n v="120000"/>
    <x v="1"/>
  </r>
  <r>
    <s v="ORD1303"/>
    <d v="2024-04-10T00:00:00"/>
    <s v="C009"/>
    <s v="Annual AMC Contract"/>
    <x v="3"/>
    <n v="5"/>
    <n v="178500"/>
    <n v="90000"/>
    <n v="88500"/>
    <n v="15"/>
    <s v="Completed"/>
    <s v="Pooja Singh"/>
    <s v="UPI"/>
    <n v="24"/>
    <n v="49.58"/>
    <n v="35700"/>
    <x v="0"/>
  </r>
  <r>
    <s v="ORD1304"/>
    <d v="2024-11-11T00:00:00"/>
    <s v="C028"/>
    <s v="IT Support &amp; Maintenance"/>
    <x v="3"/>
    <n v="5"/>
    <n v="175000"/>
    <n v="75000"/>
    <n v="100000"/>
    <n v="0"/>
    <s v="Cancelled"/>
    <s v="Sandeep Rao"/>
    <s v="Net Banking"/>
    <n v="3"/>
    <n v="57.14"/>
    <n v="35000"/>
    <x v="0"/>
  </r>
  <r>
    <s v="ORD1305"/>
    <d v="2024-10-12T00:00:00"/>
    <s v="C008"/>
    <s v="Data Analytics Dashboard"/>
    <x v="2"/>
    <n v="1"/>
    <n v="100000"/>
    <n v="45000"/>
    <n v="55000"/>
    <n v="0"/>
    <s v="Completed"/>
    <s v="Amit Verma"/>
    <s v="Net Banking"/>
    <n v="24"/>
    <n v="55"/>
    <n v="100000"/>
    <x v="1"/>
  </r>
  <r>
    <s v="ORD1306"/>
    <d v="2024-08-02T00:00:00"/>
    <s v="C019"/>
    <s v="Chatbot Development"/>
    <x v="4"/>
    <n v="4"/>
    <n v="520000"/>
    <n v="220000"/>
    <n v="300000"/>
    <n v="0"/>
    <s v="Completed"/>
    <s v="Arjun Mehta"/>
    <s v="Credit Card"/>
    <n v="6"/>
    <n v="57.69"/>
    <n v="130000"/>
    <x v="1"/>
  </r>
  <r>
    <s v="ORD1307"/>
    <d v="2024-10-20T00:00:00"/>
    <s v="C011"/>
    <s v="IT Support &amp; Maintenance"/>
    <x v="3"/>
    <n v="5"/>
    <n v="175000"/>
    <n v="75000"/>
    <n v="100000"/>
    <n v="0"/>
    <s v="Completed"/>
    <s v="Rohit Sharma"/>
    <s v="UPI"/>
    <n v="6"/>
    <n v="57.14"/>
    <n v="35000"/>
    <x v="0"/>
  </r>
  <r>
    <s v="ORD1308"/>
    <d v="2024-04-09T00:00:00"/>
    <s v="C018"/>
    <s v="Network Setup &amp; Config"/>
    <x v="3"/>
    <n v="4"/>
    <n v="197600"/>
    <n v="88000"/>
    <n v="109600"/>
    <n v="5"/>
    <s v="Cancelled"/>
    <s v="Sunita Pillai"/>
    <s v="UPI"/>
    <n v="24"/>
    <n v="55.47"/>
    <n v="49400"/>
    <x v="0"/>
  </r>
  <r>
    <s v="ORD1309"/>
    <d v="2024-12-08T00:00:00"/>
    <s v="C001"/>
    <s v="Penetration Testing"/>
    <x v="0"/>
    <n v="3"/>
    <n v="210000"/>
    <n v="90000"/>
    <n v="120000"/>
    <n v="0"/>
    <s v="Completed"/>
    <s v="Deepa Iyer"/>
    <s v="Net Banking"/>
    <n v="12"/>
    <n v="57.14"/>
    <n v="70000"/>
    <x v="0"/>
  </r>
  <r>
    <s v="ORD1310"/>
    <d v="2024-03-27T00:00:00"/>
    <s v="C019"/>
    <s v="Annual AMC Contract"/>
    <x v="3"/>
    <n v="5"/>
    <n v="189000"/>
    <n v="90000"/>
    <n v="99000"/>
    <n v="10"/>
    <s v="Completed"/>
    <s v="Pooja Singh"/>
    <s v="Bank Transfer"/>
    <n v="12"/>
    <n v="52.38"/>
    <n v="37800"/>
    <x v="1"/>
  </r>
  <r>
    <s v="ORD1311"/>
    <d v="2024-10-05T00:00:00"/>
    <s v="C012"/>
    <s v="Mobile App Development"/>
    <x v="5"/>
    <n v="1"/>
    <n v="160000"/>
    <n v="85000"/>
    <n v="75000"/>
    <n v="20"/>
    <s v="Cancelled"/>
    <s v="Sunita Pillai"/>
    <s v="Net Banking"/>
    <n v="6"/>
    <n v="46.88"/>
    <n v="160000"/>
    <x v="1"/>
  </r>
  <r>
    <s v="ORD1312"/>
    <d v="2024-12-19T00:00:00"/>
    <s v="C025"/>
    <s v="Penetration Testing"/>
    <x v="0"/>
    <n v="3"/>
    <n v="168000"/>
    <n v="90000"/>
    <n v="78000"/>
    <n v="20"/>
    <s v="Completed"/>
    <s v="Sunita Pillai"/>
    <s v="Cheque"/>
    <n v="12"/>
    <n v="46.43"/>
    <n v="56000"/>
    <x v="1"/>
  </r>
  <r>
    <s v="ORD1313"/>
    <d v="2024-02-14T00:00:00"/>
    <s v="C004"/>
    <s v="Penetration Testing"/>
    <x v="0"/>
    <n v="2"/>
    <n v="112000"/>
    <n v="60000"/>
    <n v="52000"/>
    <n v="20"/>
    <s v="Cancelled"/>
    <s v="Pooja Singh"/>
    <s v="Cheque"/>
    <n v="24"/>
    <n v="46.43"/>
    <n v="56000"/>
    <x v="1"/>
  </r>
  <r>
    <s v="ORD1314"/>
    <d v="2024-03-25T00:00:00"/>
    <s v="C026"/>
    <s v="Cybersecurity Audit"/>
    <x v="0"/>
    <n v="2"/>
    <n v="96000"/>
    <n v="50000"/>
    <n v="46000"/>
    <n v="20"/>
    <s v="Completed"/>
    <s v="Pooja Singh"/>
    <s v="Cheque"/>
    <n v="12"/>
    <n v="47.92"/>
    <n v="48000"/>
    <x v="1"/>
  </r>
  <r>
    <s v="ORD1315"/>
    <d v="2024-11-01T00:00:00"/>
    <s v="C011"/>
    <s v="Data Analytics Dashboard"/>
    <x v="2"/>
    <n v="3"/>
    <n v="270000"/>
    <n v="135000"/>
    <n v="135000"/>
    <n v="10"/>
    <s v="Completed"/>
    <s v="Arjun Mehta"/>
    <s v="Bank Transfer"/>
    <n v="6"/>
    <n v="50"/>
    <n v="90000"/>
    <x v="0"/>
  </r>
  <r>
    <s v="ORD1316"/>
    <d v="2024-07-29T00:00:00"/>
    <s v="C009"/>
    <s v="ERP Implementation"/>
    <x v="6"/>
    <n v="2"/>
    <n v="440000"/>
    <n v="180000"/>
    <n v="260000"/>
    <n v="0"/>
    <s v="Completed"/>
    <s v="Kavita Joshi"/>
    <s v="Credit Card"/>
    <n v="24"/>
    <n v="59.09"/>
    <n v="220000"/>
    <x v="0"/>
  </r>
  <r>
    <s v="ORD1317"/>
    <d v="2024-12-16T00:00:00"/>
    <s v="C009"/>
    <s v="RPA Implementation"/>
    <x v="4"/>
    <n v="4"/>
    <n v="608000"/>
    <n v="280000"/>
    <n v="328000"/>
    <n v="5"/>
    <s v="Completed"/>
    <s v="Priya Nair"/>
    <s v="UPI"/>
    <n v="12"/>
    <n v="53.95"/>
    <n v="152000"/>
    <x v="0"/>
  </r>
  <r>
    <s v="ORD1318"/>
    <d v="2024-12-21T00:00:00"/>
    <s v="C012"/>
    <s v="IT Support &amp; Maintenance"/>
    <x v="3"/>
    <n v="4"/>
    <n v="133000"/>
    <n v="60000"/>
    <n v="73000"/>
    <n v="5"/>
    <s v="In Progress"/>
    <s v="Rohit Sharma"/>
    <s v="Bank Transfer"/>
    <n v="24"/>
    <n v="54.89"/>
    <n v="33250"/>
    <x v="1"/>
  </r>
  <r>
    <s v="ORD1319"/>
    <d v="2024-11-21T00:00:00"/>
    <s v="C012"/>
    <s v="AWS Management Package"/>
    <x v="1"/>
    <n v="5"/>
    <n v="570000"/>
    <n v="250000"/>
    <n v="320000"/>
    <n v="5"/>
    <s v="Completed"/>
    <s v="Nikhil Gupta"/>
    <s v="Credit Card"/>
    <n v="24"/>
    <n v="56.14"/>
    <n v="114000"/>
    <x v="1"/>
  </r>
  <r>
    <s v="ORD1320"/>
    <d v="2024-05-17T00:00:00"/>
    <s v="C010"/>
    <s v="Business Intelligence Report"/>
    <x v="2"/>
    <n v="5"/>
    <n v="292500"/>
    <n v="140000"/>
    <n v="152500"/>
    <n v="10"/>
    <s v="Completed"/>
    <s v="Pooja Singh"/>
    <s v="UPI"/>
    <n v="12"/>
    <n v="52.14"/>
    <n v="58500"/>
    <x v="0"/>
  </r>
  <r>
    <s v="ORD1321"/>
    <d v="2024-12-15T00:00:00"/>
    <s v="C002"/>
    <s v="Enterprise CRM Software"/>
    <x v="6"/>
    <n v="4"/>
    <n v="380000"/>
    <n v="160000"/>
    <n v="220000"/>
    <n v="0"/>
    <s v="Completed"/>
    <s v="Amit Verma"/>
    <s v="UPI"/>
    <n v="24"/>
    <n v="57.89"/>
    <n v="95000"/>
    <x v="2"/>
  </r>
  <r>
    <s v="ORD1322"/>
    <d v="2024-01-01T00:00:00"/>
    <s v="C014"/>
    <s v="Cybersecurity Audit"/>
    <x v="0"/>
    <n v="2"/>
    <n v="102000"/>
    <n v="50000"/>
    <n v="52000"/>
    <n v="15"/>
    <s v="Completed"/>
    <s v="Amit Verma"/>
    <s v="Cheque"/>
    <n v="3"/>
    <n v="50.98"/>
    <n v="51000"/>
    <x v="0"/>
  </r>
  <r>
    <s v="ORD1323"/>
    <d v="2024-12-01T00:00:00"/>
    <s v="C003"/>
    <s v="AI/ML Model Development"/>
    <x v="4"/>
    <n v="2"/>
    <n v="560000"/>
    <n v="240000"/>
    <n v="320000"/>
    <n v="0"/>
    <s v="Completed"/>
    <s v="Sandeep Rao"/>
    <s v="Credit Card"/>
    <n v="24"/>
    <n v="57.14"/>
    <n v="280000"/>
    <x v="0"/>
  </r>
  <r>
    <s v="ORD1324"/>
    <d v="2024-10-09T00:00:00"/>
    <s v="C001"/>
    <s v="Cybersecurity Audit"/>
    <x v="0"/>
    <n v="4"/>
    <n v="240000"/>
    <n v="100000"/>
    <n v="140000"/>
    <n v="0"/>
    <s v="Completed"/>
    <s v="Pooja Singh"/>
    <s v="Credit Card"/>
    <n v="24"/>
    <n v="58.33"/>
    <n v="60000"/>
    <x v="0"/>
  </r>
  <r>
    <s v="ORD1325"/>
    <d v="2024-11-09T00:00:00"/>
    <s v="C027"/>
    <s v="Enterprise CRM Software"/>
    <x v="6"/>
    <n v="4"/>
    <n v="323000"/>
    <n v="160000"/>
    <n v="163000"/>
    <n v="15"/>
    <s v="Completed"/>
    <s v="Sunita Pillai"/>
    <s v="Bank Transfer"/>
    <n v="6"/>
    <n v="50.46"/>
    <n v="80750"/>
    <x v="1"/>
  </r>
  <r>
    <s v="ORD1326"/>
    <d v="2024-10-10T00:00:00"/>
    <s v="C004"/>
    <s v="Business Intelligence Report"/>
    <x v="2"/>
    <n v="3"/>
    <n v="185250"/>
    <n v="84000"/>
    <n v="101250"/>
    <n v="5"/>
    <s v="Completed"/>
    <s v="Nikhil Gupta"/>
    <s v="Credit Card"/>
    <n v="6"/>
    <n v="54.66"/>
    <n v="61750"/>
    <x v="1"/>
  </r>
  <r>
    <s v="ORD1327"/>
    <d v="2024-02-05T00:00:00"/>
    <s v="C001"/>
    <s v="API Integration Service"/>
    <x v="5"/>
    <n v="2"/>
    <n v="167200"/>
    <n v="76000"/>
    <n v="91200"/>
    <n v="5"/>
    <s v="Completed"/>
    <s v="Deepa Iyer"/>
    <s v="Credit Card"/>
    <n v="24"/>
    <n v="54.55"/>
    <n v="83600"/>
    <x v="0"/>
  </r>
  <r>
    <s v="ORD1328"/>
    <d v="2024-11-11T00:00:00"/>
    <s v="C028"/>
    <s v="Cybersecurity Audit"/>
    <x v="0"/>
    <n v="1"/>
    <n v="60000"/>
    <n v="25000"/>
    <n v="35000"/>
    <n v="0"/>
    <s v="Completed"/>
    <s v="Priya Nair"/>
    <s v="Net Banking"/>
    <n v="24"/>
    <n v="58.33"/>
    <n v="60000"/>
    <x v="0"/>
  </r>
  <r>
    <s v="ORD1329"/>
    <d v="2024-06-28T00:00:00"/>
    <s v="C011"/>
    <s v="ERP Implementation"/>
    <x v="6"/>
    <n v="2"/>
    <n v="418000"/>
    <n v="180000"/>
    <n v="238000"/>
    <n v="5"/>
    <s v="Cancelled"/>
    <s v="Priya Nair"/>
    <s v="Credit Card"/>
    <n v="12"/>
    <n v="56.94"/>
    <n v="209000"/>
    <x v="0"/>
  </r>
  <r>
    <s v="ORD1330"/>
    <d v="2024-12-20T00:00:00"/>
    <s v="C029"/>
    <s v="Data Analytics Dashboard"/>
    <x v="2"/>
    <n v="2"/>
    <n v="180000"/>
    <n v="90000"/>
    <n v="90000"/>
    <n v="10"/>
    <s v="In Progress"/>
    <s v="Arjun Mehta"/>
    <s v="Credit Card"/>
    <n v="24"/>
    <n v="50"/>
    <n v="90000"/>
    <x v="0"/>
  </r>
  <r>
    <s v="ORD1331"/>
    <d v="2024-05-31T00:00:00"/>
    <s v="C026"/>
    <s v="Penetration Testing"/>
    <x v="0"/>
    <n v="4"/>
    <n v="266000"/>
    <n v="120000"/>
    <n v="146000"/>
    <n v="5"/>
    <s v="Completed"/>
    <s v="Deepa Iyer"/>
    <s v="UPI"/>
    <n v="3"/>
    <n v="54.89"/>
    <n v="66500"/>
    <x v="1"/>
  </r>
  <r>
    <s v="ORD1332"/>
    <d v="2024-09-27T00:00:00"/>
    <s v="C001"/>
    <s v="AI/ML Model Development"/>
    <x v="4"/>
    <n v="3"/>
    <n v="840000"/>
    <n v="360000"/>
    <n v="480000"/>
    <n v="0"/>
    <s v="Completed"/>
    <s v="Pooja Singh"/>
    <s v="UPI"/>
    <n v="12"/>
    <n v="57.14"/>
    <n v="280000"/>
    <x v="0"/>
  </r>
  <r>
    <s v="ORD1333"/>
    <d v="2024-10-06T00:00:00"/>
    <s v="C025"/>
    <s v="Annual AMC Contract"/>
    <x v="3"/>
    <n v="1"/>
    <n v="42000"/>
    <n v="18000"/>
    <n v="24000"/>
    <n v="0"/>
    <s v="In Progress"/>
    <s v="Priya Nair"/>
    <s v="Bank Transfer"/>
    <n v="12"/>
    <n v="57.14"/>
    <n v="42000"/>
    <x v="1"/>
  </r>
  <r>
    <s v="ORD1334"/>
    <d v="2024-10-04T00:00:00"/>
    <s v="C026"/>
    <s v="Chatbot Development"/>
    <x v="4"/>
    <n v="5"/>
    <n v="617500"/>
    <n v="275000"/>
    <n v="342500"/>
    <n v="5"/>
    <s v="Cancelled"/>
    <s v="Arjun Mehta"/>
    <s v="UPI"/>
    <n v="24"/>
    <n v="55.47"/>
    <n v="123500"/>
    <x v="1"/>
  </r>
  <r>
    <s v="ORD1335"/>
    <d v="2024-12-25T00:00:00"/>
    <s v="C021"/>
    <s v="Mobile App Development"/>
    <x v="5"/>
    <n v="5"/>
    <n v="900000"/>
    <n v="425000"/>
    <n v="475000"/>
    <n v="10"/>
    <s v="Completed"/>
    <s v="Sandeep Rao"/>
    <s v="Bank Transfer"/>
    <n v="12"/>
    <n v="52.78"/>
    <n v="180000"/>
    <x v="2"/>
  </r>
  <r>
    <s v="ORD1336"/>
    <d v="2024-02-10T00:00:00"/>
    <s v="C007"/>
    <s v="ERP Implementation"/>
    <x v="6"/>
    <n v="5"/>
    <n v="1045000"/>
    <n v="450000"/>
    <n v="595000"/>
    <n v="5"/>
    <s v="Completed"/>
    <s v="Pooja Singh"/>
    <s v="Bank Transfer"/>
    <n v="12"/>
    <n v="56.94"/>
    <n v="209000"/>
    <x v="2"/>
  </r>
  <r>
    <s v="ORD1337"/>
    <d v="2024-12-23T00:00:00"/>
    <s v="C028"/>
    <s v="Penetration Testing"/>
    <x v="0"/>
    <n v="1"/>
    <n v="70000"/>
    <n v="30000"/>
    <n v="40000"/>
    <n v="0"/>
    <s v="Completed"/>
    <s v="Nikhil Gupta"/>
    <s v="Bank Transfer"/>
    <n v="24"/>
    <n v="57.14"/>
    <n v="70000"/>
    <x v="0"/>
  </r>
  <r>
    <s v="ORD1338"/>
    <d v="2024-11-09T00:00:00"/>
    <s v="C010"/>
    <s v="HR Management System"/>
    <x v="6"/>
    <n v="1"/>
    <n v="80000"/>
    <n v="35000"/>
    <n v="45000"/>
    <n v="0"/>
    <s v="Cancelled"/>
    <s v="Amit Verma"/>
    <s v="Bank Transfer"/>
    <n v="6"/>
    <n v="56.25"/>
    <n v="80000"/>
    <x v="0"/>
  </r>
  <r>
    <s v="ORD1339"/>
    <d v="2024-09-11T00:00:00"/>
    <s v="C017"/>
    <s v="Network Setup &amp; Config"/>
    <x v="3"/>
    <n v="3"/>
    <n v="156000"/>
    <n v="66000"/>
    <n v="90000"/>
    <n v="0"/>
    <s v="Completed"/>
    <s v="Amit Verma"/>
    <s v="Cheque"/>
    <n v="3"/>
    <n v="57.69"/>
    <n v="52000"/>
    <x v="0"/>
  </r>
  <r>
    <s v="ORD1340"/>
    <d v="2024-01-16T00:00:00"/>
    <s v="C014"/>
    <s v="Firewall &amp; Network Security"/>
    <x v="0"/>
    <n v="5"/>
    <n v="250000"/>
    <n v="100000"/>
    <n v="150000"/>
    <n v="0"/>
    <s v="Completed"/>
    <s v="Pooja Singh"/>
    <s v="Bank Transfer"/>
    <n v="24"/>
    <n v="60"/>
    <n v="50000"/>
    <x v="0"/>
  </r>
  <r>
    <s v="ORD1341"/>
    <d v="2024-08-21T00:00:00"/>
    <s v="C002"/>
    <s v="Annual AMC Contract"/>
    <x v="3"/>
    <n v="5"/>
    <n v="210000"/>
    <n v="90000"/>
    <n v="120000"/>
    <n v="0"/>
    <s v="Completed"/>
    <s v="Amit Verma"/>
    <s v="Cheque"/>
    <n v="3"/>
    <n v="57.14"/>
    <n v="42000"/>
    <x v="2"/>
  </r>
  <r>
    <s v="ORD1342"/>
    <d v="2024-10-20T00:00:00"/>
    <s v="C004"/>
    <s v="Penetration Testing"/>
    <x v="0"/>
    <n v="5"/>
    <n v="350000"/>
    <n v="150000"/>
    <n v="200000"/>
    <n v="0"/>
    <s v="Completed"/>
    <s v="Rohit Sharma"/>
    <s v="Credit Card"/>
    <n v="3"/>
    <n v="57.14"/>
    <n v="70000"/>
    <x v="1"/>
  </r>
  <r>
    <s v="ORD1343"/>
    <d v="2024-08-29T00:00:00"/>
    <s v="C030"/>
    <s v="ERP Implementation"/>
    <x v="6"/>
    <n v="2"/>
    <n v="352000"/>
    <n v="180000"/>
    <n v="172000"/>
    <n v="20"/>
    <s v="Completed"/>
    <s v="Arjun Mehta"/>
    <s v="UPI"/>
    <n v="6"/>
    <n v="48.86"/>
    <n v="176000"/>
    <x v="1"/>
  </r>
  <r>
    <s v="ORD1344"/>
    <d v="2024-12-28T00:00:00"/>
    <s v="C011"/>
    <s v="Firewall &amp; Network Security"/>
    <x v="0"/>
    <n v="1"/>
    <n v="45000"/>
    <n v="20000"/>
    <n v="25000"/>
    <n v="10"/>
    <s v="Completed"/>
    <s v="Priya Nair"/>
    <s v="Net Banking"/>
    <n v="3"/>
    <n v="55.56"/>
    <n v="45000"/>
    <x v="0"/>
  </r>
  <r>
    <s v="ORD1345"/>
    <d v="2024-12-02T00:00:00"/>
    <s v="C002"/>
    <s v="Chatbot Development"/>
    <x v="4"/>
    <n v="1"/>
    <n v="123500"/>
    <n v="55000"/>
    <n v="68500"/>
    <n v="5"/>
    <s v="Completed"/>
    <s v="Sandeep Rao"/>
    <s v="Cheque"/>
    <n v="3"/>
    <n v="55.47"/>
    <n v="123500"/>
    <x v="2"/>
  </r>
  <r>
    <s v="ORD1346"/>
    <d v="2024-10-10T00:00:00"/>
    <s v="C012"/>
    <s v="Cybersecurity Audit"/>
    <x v="0"/>
    <n v="3"/>
    <n v="162000"/>
    <n v="75000"/>
    <n v="87000"/>
    <n v="10"/>
    <s v="Completed"/>
    <s v="Pooja Singh"/>
    <s v="Credit Card"/>
    <n v="24"/>
    <n v="53.7"/>
    <n v="54000"/>
    <x v="1"/>
  </r>
  <r>
    <s v="ORD1347"/>
    <d v="2024-07-07T00:00:00"/>
    <s v="C016"/>
    <s v="Cybersecurity Audit"/>
    <x v="0"/>
    <n v="5"/>
    <n v="240000"/>
    <n v="125000"/>
    <n v="115000"/>
    <n v="20"/>
    <s v="Completed"/>
    <s v="Amit Verma"/>
    <s v="Bank Transfer"/>
    <n v="24"/>
    <n v="47.92"/>
    <n v="48000"/>
    <x v="0"/>
  </r>
  <r>
    <s v="ORD1348"/>
    <d v="2024-11-10T00:00:00"/>
    <s v="C021"/>
    <s v="Cloud Infrastructure Setup"/>
    <x v="1"/>
    <n v="3"/>
    <n v="540000"/>
    <n v="240000"/>
    <n v="300000"/>
    <n v="0"/>
    <s v="Cancelled"/>
    <s v="Nikhil Gupta"/>
    <s v="Cheque"/>
    <n v="3"/>
    <n v="55.56"/>
    <n v="180000"/>
    <x v="2"/>
  </r>
  <r>
    <s v="ORD1349"/>
    <d v="2024-04-15T00:00:00"/>
    <s v="C008"/>
    <s v="RPA Implementation"/>
    <x v="4"/>
    <n v="4"/>
    <n v="640000"/>
    <n v="280000"/>
    <n v="360000"/>
    <n v="0"/>
    <s v="Completed"/>
    <s v="Sandeep Rao"/>
    <s v="Bank Transfer"/>
    <n v="3"/>
    <n v="56.25"/>
    <n v="160000"/>
    <x v="1"/>
  </r>
  <r>
    <s v="ORD1350"/>
    <d v="2024-04-28T00:00:00"/>
    <s v="C017"/>
    <s v="RPA Implementation"/>
    <x v="4"/>
    <n v="3"/>
    <n v="456000"/>
    <n v="210000"/>
    <n v="246000"/>
    <n v="5"/>
    <s v="Cancelled"/>
    <s v="Priya Nair"/>
    <s v="Net Banking"/>
    <n v="3"/>
    <n v="53.95"/>
    <n v="152000"/>
    <x v="0"/>
  </r>
  <r>
    <s v="ORD1351"/>
    <d v="2024-11-16T00:00:00"/>
    <s v="C003"/>
    <s v="Web Portal Development"/>
    <x v="5"/>
    <n v="5"/>
    <n v="725000"/>
    <n v="300000"/>
    <n v="425000"/>
    <n v="0"/>
    <s v="Completed"/>
    <s v="Amit Verma"/>
    <s v="Credit Card"/>
    <n v="12"/>
    <n v="58.62"/>
    <n v="145000"/>
    <x v="0"/>
  </r>
  <r>
    <s v="ORD1352"/>
    <d v="2024-05-13T00:00:00"/>
    <s v="C030"/>
    <s v="Chatbot Development"/>
    <x v="4"/>
    <n v="3"/>
    <n v="370500"/>
    <n v="165000"/>
    <n v="205500"/>
    <n v="5"/>
    <s v="Completed"/>
    <s v="Sandeep Rao"/>
    <s v="Credit Card"/>
    <n v="3"/>
    <n v="55.47"/>
    <n v="123500"/>
    <x v="1"/>
  </r>
  <r>
    <s v="ORD1353"/>
    <d v="2024-12-10T00:00:00"/>
    <s v="C004"/>
    <s v="ERP Implementation"/>
    <x v="6"/>
    <n v="1"/>
    <n v="220000"/>
    <n v="90000"/>
    <n v="130000"/>
    <n v="0"/>
    <s v="Completed"/>
    <s v="Sunita Pillai"/>
    <s v="Cheque"/>
    <n v="24"/>
    <n v="59.09"/>
    <n v="220000"/>
    <x v="1"/>
  </r>
  <r>
    <s v="ORD1354"/>
    <d v="2024-03-02T00:00:00"/>
    <s v="C025"/>
    <s v="Cybersecurity Audit"/>
    <x v="0"/>
    <n v="4"/>
    <n v="228000"/>
    <n v="100000"/>
    <n v="128000"/>
    <n v="5"/>
    <s v="Completed"/>
    <s v="Sandeep Rao"/>
    <s v="Bank Transfer"/>
    <n v="3"/>
    <n v="56.14"/>
    <n v="57000"/>
    <x v="1"/>
  </r>
  <r>
    <s v="ORD1355"/>
    <d v="2024-03-21T00:00:00"/>
    <s v="C010"/>
    <s v="API Integration Service"/>
    <x v="5"/>
    <n v="1"/>
    <n v="88000"/>
    <n v="38000"/>
    <n v="50000"/>
    <n v="0"/>
    <s v="Completed"/>
    <s v="Amit Verma"/>
    <s v="Bank Transfer"/>
    <n v="6"/>
    <n v="56.82"/>
    <n v="88000"/>
    <x v="0"/>
  </r>
  <r>
    <s v="ORD1356"/>
    <d v="2024-07-01T00:00:00"/>
    <s v="C002"/>
    <s v="Data Analytics Dashboard"/>
    <x v="2"/>
    <n v="3"/>
    <n v="240000"/>
    <n v="135000"/>
    <n v="105000"/>
    <n v="20"/>
    <s v="Completed"/>
    <s v="Rohit Sharma"/>
    <s v="UPI"/>
    <n v="24"/>
    <n v="43.75"/>
    <n v="80000"/>
    <x v="2"/>
  </r>
  <r>
    <s v="ORD1357"/>
    <d v="2024-10-11T00:00:00"/>
    <s v="C008"/>
    <s v="Enterprise CRM Software"/>
    <x v="6"/>
    <n v="4"/>
    <n v="380000"/>
    <n v="160000"/>
    <n v="220000"/>
    <n v="0"/>
    <s v="Completed"/>
    <s v="Priya Nair"/>
    <s v="Bank Transfer"/>
    <n v="3"/>
    <n v="57.89"/>
    <n v="95000"/>
    <x v="1"/>
  </r>
  <r>
    <s v="ORD1358"/>
    <d v="2024-11-17T00:00:00"/>
    <s v="C012"/>
    <s v="AWS Management Package"/>
    <x v="1"/>
    <n v="5"/>
    <n v="540000"/>
    <n v="250000"/>
    <n v="290000"/>
    <n v="10"/>
    <s v="Completed"/>
    <s v="Priya Nair"/>
    <s v="Bank Transfer"/>
    <n v="3"/>
    <n v="53.7"/>
    <n v="108000"/>
    <x v="1"/>
  </r>
  <r>
    <s v="ORD1359"/>
    <d v="2024-04-11T00:00:00"/>
    <s v="C015"/>
    <s v="ERP Implementation"/>
    <x v="6"/>
    <n v="1"/>
    <n v="176000"/>
    <n v="90000"/>
    <n v="86000"/>
    <n v="20"/>
    <s v="Completed"/>
    <s v="Priya Nair"/>
    <s v="Bank Transfer"/>
    <n v="24"/>
    <n v="48.86"/>
    <n v="176000"/>
    <x v="2"/>
  </r>
  <r>
    <s v="ORD1360"/>
    <d v="2024-12-09T00:00:00"/>
    <s v="C014"/>
    <s v="Chatbot Development"/>
    <x v="4"/>
    <n v="4"/>
    <n v="520000"/>
    <n v="220000"/>
    <n v="300000"/>
    <n v="0"/>
    <s v="Completed"/>
    <s v="Nikhil Gupta"/>
    <s v="Credit Card"/>
    <n v="12"/>
    <n v="57.69"/>
    <n v="130000"/>
    <x v="0"/>
  </r>
  <r>
    <s v="ORD1361"/>
    <d v="2024-04-19T00:00:00"/>
    <s v="C009"/>
    <s v="Firewall &amp; Network Security"/>
    <x v="0"/>
    <n v="4"/>
    <n v="200000"/>
    <n v="80000"/>
    <n v="120000"/>
    <n v="0"/>
    <s v="Completed"/>
    <s v="Pooja Singh"/>
    <s v="Net Banking"/>
    <n v="6"/>
    <n v="60"/>
    <n v="50000"/>
    <x v="0"/>
  </r>
  <r>
    <s v="ORD1362"/>
    <d v="2024-11-18T00:00:00"/>
    <s v="C029"/>
    <s v="Mobile App Development"/>
    <x v="5"/>
    <n v="4"/>
    <n v="800000"/>
    <n v="340000"/>
    <n v="460000"/>
    <n v="0"/>
    <s v="Completed"/>
    <s v="Sandeep Rao"/>
    <s v="UPI"/>
    <n v="6"/>
    <n v="57.5"/>
    <n v="200000"/>
    <x v="0"/>
  </r>
  <r>
    <s v="ORD1363"/>
    <d v="2024-12-03T00:00:00"/>
    <s v="C008"/>
    <s v="Mobile App Development"/>
    <x v="5"/>
    <n v="1"/>
    <n v="190000"/>
    <n v="85000"/>
    <n v="105000"/>
    <n v="5"/>
    <s v="Cancelled"/>
    <s v="Kavita Joshi"/>
    <s v="UPI"/>
    <n v="24"/>
    <n v="55.26"/>
    <n v="190000"/>
    <x v="1"/>
  </r>
  <r>
    <s v="ORD1364"/>
    <d v="2024-06-25T00:00:00"/>
    <s v="C017"/>
    <s v="Business Intelligence Report"/>
    <x v="2"/>
    <n v="4"/>
    <n v="247000"/>
    <n v="112000"/>
    <n v="135000"/>
    <n v="5"/>
    <s v="Completed"/>
    <s v="Rohit Sharma"/>
    <s v="Cheque"/>
    <n v="6"/>
    <n v="54.66"/>
    <n v="61750"/>
    <x v="0"/>
  </r>
  <r>
    <s v="ORD1365"/>
    <d v="2024-01-16T00:00:00"/>
    <s v="C025"/>
    <s v="Firewall &amp; Network Security"/>
    <x v="0"/>
    <n v="1"/>
    <n v="40000"/>
    <n v="20000"/>
    <n v="20000"/>
    <n v="20"/>
    <s v="Completed"/>
    <s v="Arjun Mehta"/>
    <s v="Cheque"/>
    <n v="6"/>
    <n v="50"/>
    <n v="40000"/>
    <x v="1"/>
  </r>
  <r>
    <s v="ORD1366"/>
    <d v="2024-12-20T00:00:00"/>
    <s v="C008"/>
    <s v="Firewall &amp; Network Security"/>
    <x v="0"/>
    <n v="5"/>
    <n v="200000"/>
    <n v="100000"/>
    <n v="100000"/>
    <n v="20"/>
    <s v="Cancelled"/>
    <s v="Rohit Sharma"/>
    <s v="Credit Card"/>
    <n v="24"/>
    <n v="50"/>
    <n v="40000"/>
    <x v="1"/>
  </r>
  <r>
    <s v="ORD1367"/>
    <d v="2024-06-30T00:00:00"/>
    <s v="C028"/>
    <s v="HR Management System"/>
    <x v="6"/>
    <n v="2"/>
    <n v="160000"/>
    <n v="70000"/>
    <n v="90000"/>
    <n v="0"/>
    <s v="In Progress"/>
    <s v="Kavita Joshi"/>
    <s v="Cheque"/>
    <n v="3"/>
    <n v="56.25"/>
    <n v="80000"/>
    <x v="0"/>
  </r>
  <r>
    <s v="ORD1368"/>
    <d v="2024-12-26T00:00:00"/>
    <s v="C019"/>
    <s v="Web Portal Development"/>
    <x v="5"/>
    <n v="2"/>
    <n v="261000"/>
    <n v="120000"/>
    <n v="141000"/>
    <n v="10"/>
    <s v="Completed"/>
    <s v="Sunita Pillai"/>
    <s v="Net Banking"/>
    <n v="12"/>
    <n v="54.02"/>
    <n v="130500"/>
    <x v="1"/>
  </r>
  <r>
    <s v="ORD1369"/>
    <d v="2024-03-30T00:00:00"/>
    <s v="C003"/>
    <s v="Cloud Migration Service"/>
    <x v="1"/>
    <n v="2"/>
    <n v="252000"/>
    <n v="120000"/>
    <n v="132000"/>
    <n v="10"/>
    <s v="Completed"/>
    <s v="Rohit Sharma"/>
    <s v="Net Banking"/>
    <n v="24"/>
    <n v="52.38"/>
    <n v="126000"/>
    <x v="0"/>
  </r>
  <r>
    <s v="ORD1370"/>
    <d v="2024-01-01T00:00:00"/>
    <s v="C020"/>
    <s v="Cybersecurity Audit"/>
    <x v="0"/>
    <n v="2"/>
    <n v="114000"/>
    <n v="50000"/>
    <n v="64000"/>
    <n v="5"/>
    <s v="Cancelled"/>
    <s v="Amit Verma"/>
    <s v="Cheque"/>
    <n v="3"/>
    <n v="56.14"/>
    <n v="57000"/>
    <x v="1"/>
  </r>
  <r>
    <s v="ORD1371"/>
    <d v="2024-12-26T00:00:00"/>
    <s v="C030"/>
    <s v="ERP Implementation"/>
    <x v="6"/>
    <n v="1"/>
    <n v="176000"/>
    <n v="90000"/>
    <n v="86000"/>
    <n v="20"/>
    <s v="In Progress"/>
    <s v="Kavita Joshi"/>
    <s v="Bank Transfer"/>
    <n v="12"/>
    <n v="48.86"/>
    <n v="176000"/>
    <x v="1"/>
  </r>
  <r>
    <s v="ORD1372"/>
    <d v="2024-12-26T00:00:00"/>
    <s v="C013"/>
    <s v="Web Portal Development"/>
    <x v="5"/>
    <n v="1"/>
    <n v="137750"/>
    <n v="60000"/>
    <n v="77750"/>
    <n v="5"/>
    <s v="Completed"/>
    <s v="Kavita Joshi"/>
    <s v="Credit Card"/>
    <n v="6"/>
    <n v="56.44"/>
    <n v="137750"/>
    <x v="1"/>
  </r>
  <r>
    <s v="ORD1373"/>
    <d v="2024-08-11T00:00:00"/>
    <s v="C016"/>
    <s v="Business Intelligence Report"/>
    <x v="2"/>
    <n v="2"/>
    <n v="110500"/>
    <n v="56000"/>
    <n v="54500"/>
    <n v="15"/>
    <s v="In Progress"/>
    <s v="Pooja Singh"/>
    <s v="Cheque"/>
    <n v="6"/>
    <n v="49.32"/>
    <n v="55250"/>
    <x v="0"/>
  </r>
  <r>
    <s v="ORD1374"/>
    <d v="2024-12-06T00:00:00"/>
    <s v="C006"/>
    <s v="Chatbot Development"/>
    <x v="4"/>
    <n v="3"/>
    <n v="331500"/>
    <n v="165000"/>
    <n v="166500"/>
    <n v="15"/>
    <s v="Cancelled"/>
    <s v="Sandeep Rao"/>
    <s v="Credit Card"/>
    <n v="6"/>
    <n v="50.23"/>
    <n v="110500"/>
    <x v="2"/>
  </r>
  <r>
    <s v="ORD1375"/>
    <d v="2024-01-01T00:00:00"/>
    <s v="C019"/>
    <s v="Chatbot Development"/>
    <x v="4"/>
    <n v="5"/>
    <n v="650000"/>
    <n v="275000"/>
    <n v="375000"/>
    <n v="0"/>
    <s v="Completed"/>
    <s v="Pooja Singh"/>
    <s v="Cheque"/>
    <n v="6"/>
    <n v="57.69"/>
    <n v="130000"/>
    <x v="1"/>
  </r>
  <r>
    <s v="ORD1376"/>
    <d v="2024-11-23T00:00:00"/>
    <s v="C030"/>
    <s v="Annual AMC Contract"/>
    <x v="3"/>
    <n v="2"/>
    <n v="79800"/>
    <n v="36000"/>
    <n v="43800"/>
    <n v="5"/>
    <s v="Cancelled"/>
    <s v="Priya Nair"/>
    <s v="Credit Card"/>
    <n v="12"/>
    <n v="54.89"/>
    <n v="39900"/>
    <x v="1"/>
  </r>
  <r>
    <s v="ORD1377"/>
    <d v="2024-10-08T00:00:00"/>
    <s v="C027"/>
    <s v="Business Intelligence Report"/>
    <x v="2"/>
    <n v="4"/>
    <n v="260000"/>
    <n v="112000"/>
    <n v="148000"/>
    <n v="0"/>
    <s v="Completed"/>
    <s v="Deepa Iyer"/>
    <s v="Credit Card"/>
    <n v="3"/>
    <n v="56.92"/>
    <n v="65000"/>
    <x v="1"/>
  </r>
  <r>
    <s v="ORD1378"/>
    <d v="2024-10-10T00:00:00"/>
    <s v="C024"/>
    <s v="Cloud Infrastructure Setup"/>
    <x v="1"/>
    <n v="1"/>
    <n v="171000"/>
    <n v="80000"/>
    <n v="91000"/>
    <n v="5"/>
    <s v="Completed"/>
    <s v="Nikhil Gupta"/>
    <s v="Credit Card"/>
    <n v="24"/>
    <n v="53.22"/>
    <n v="171000"/>
    <x v="1"/>
  </r>
  <r>
    <s v="ORD1379"/>
    <d v="2024-09-09T00:00:00"/>
    <s v="C012"/>
    <s v="Mobile App Development"/>
    <x v="5"/>
    <n v="4"/>
    <n v="800000"/>
    <n v="340000"/>
    <n v="460000"/>
    <n v="0"/>
    <s v="Completed"/>
    <s v="Pooja Singh"/>
    <s v="Credit Card"/>
    <n v="6"/>
    <n v="57.5"/>
    <n v="200000"/>
    <x v="1"/>
  </r>
  <r>
    <s v="ORD1380"/>
    <d v="2024-10-01T00:00:00"/>
    <s v="C010"/>
    <s v="Cloud Infrastructure Setup"/>
    <x v="1"/>
    <n v="3"/>
    <n v="513000"/>
    <n v="240000"/>
    <n v="273000"/>
    <n v="5"/>
    <s v="Completed"/>
    <s v="Priya Nair"/>
    <s v="Cheque"/>
    <n v="6"/>
    <n v="53.22"/>
    <n v="171000"/>
    <x v="0"/>
  </r>
  <r>
    <s v="ORD1381"/>
    <d v="2024-10-06T00:00:00"/>
    <s v="C018"/>
    <s v="AWS Management Package"/>
    <x v="1"/>
    <n v="3"/>
    <n v="324000"/>
    <n v="150000"/>
    <n v="174000"/>
    <n v="10"/>
    <s v="In Progress"/>
    <s v="Sunita Pillai"/>
    <s v="Bank Transfer"/>
    <n v="24"/>
    <n v="53.7"/>
    <n v="108000"/>
    <x v="0"/>
  </r>
  <r>
    <s v="ORD1382"/>
    <d v="2024-11-21T00:00:00"/>
    <s v="C006"/>
    <s v="Cloud Migration Service"/>
    <x v="1"/>
    <n v="1"/>
    <n v="133000"/>
    <n v="60000"/>
    <n v="73000"/>
    <n v="5"/>
    <s v="Completed"/>
    <s v="Deepa Iyer"/>
    <s v="UPI"/>
    <n v="12"/>
    <n v="54.89"/>
    <n v="133000"/>
    <x v="2"/>
  </r>
  <r>
    <s v="ORD1383"/>
    <d v="2024-10-27T00:00:00"/>
    <s v="C004"/>
    <s v="Cloud Migration Service"/>
    <x v="1"/>
    <n v="4"/>
    <n v="504000"/>
    <n v="240000"/>
    <n v="264000"/>
    <n v="10"/>
    <s v="In Progress"/>
    <s v="Sunita Pillai"/>
    <s v="Credit Card"/>
    <n v="3"/>
    <n v="52.38"/>
    <n v="126000"/>
    <x v="1"/>
  </r>
  <r>
    <s v="ORD1384"/>
    <d v="2024-10-08T00:00:00"/>
    <s v="C010"/>
    <s v="API Integration Service"/>
    <x v="5"/>
    <n v="4"/>
    <n v="352000"/>
    <n v="152000"/>
    <n v="200000"/>
    <n v="0"/>
    <s v="Completed"/>
    <s v="Rohit Sharma"/>
    <s v="Credit Card"/>
    <n v="6"/>
    <n v="56.82"/>
    <n v="88000"/>
    <x v="0"/>
  </r>
  <r>
    <s v="ORD1385"/>
    <d v="2024-10-07T00:00:00"/>
    <s v="C016"/>
    <s v="Enterprise CRM Software"/>
    <x v="6"/>
    <n v="3"/>
    <n v="228000"/>
    <n v="120000"/>
    <n v="108000"/>
    <n v="20"/>
    <s v="Completed"/>
    <s v="Sunita Pillai"/>
    <s v="UPI"/>
    <n v="12"/>
    <n v="47.37"/>
    <n v="76000"/>
    <x v="0"/>
  </r>
  <r>
    <s v="ORD1386"/>
    <d v="2024-02-16T00:00:00"/>
    <s v="C013"/>
    <s v="HR Management System"/>
    <x v="6"/>
    <n v="3"/>
    <n v="228000"/>
    <n v="105000"/>
    <n v="123000"/>
    <n v="5"/>
    <s v="Completed"/>
    <s v="Amit Verma"/>
    <s v="UPI"/>
    <n v="3"/>
    <n v="53.95"/>
    <n v="76000"/>
    <x v="1"/>
  </r>
  <r>
    <s v="ORD1387"/>
    <d v="2024-05-14T00:00:00"/>
    <s v="C009"/>
    <s v="Penetration Testing"/>
    <x v="0"/>
    <n v="3"/>
    <n v="189000"/>
    <n v="90000"/>
    <n v="99000"/>
    <n v="10"/>
    <s v="Completed"/>
    <s v="Amit Verma"/>
    <s v="Bank Transfer"/>
    <n v="3"/>
    <n v="52.38"/>
    <n v="63000"/>
    <x v="0"/>
  </r>
  <r>
    <s v="ORD1388"/>
    <d v="2024-12-08T00:00:00"/>
    <s v="C018"/>
    <s v="RPA Implementation"/>
    <x v="4"/>
    <n v="5"/>
    <n v="800000"/>
    <n v="350000"/>
    <n v="450000"/>
    <n v="0"/>
    <s v="In Progress"/>
    <s v="Rohit Sharma"/>
    <s v="UPI"/>
    <n v="24"/>
    <n v="56.25"/>
    <n v="160000"/>
    <x v="0"/>
  </r>
  <r>
    <s v="ORD1389"/>
    <d v="2024-10-01T00:00:00"/>
    <s v="C030"/>
    <s v="Annual AMC Contract"/>
    <x v="3"/>
    <n v="5"/>
    <n v="210000"/>
    <n v="90000"/>
    <n v="120000"/>
    <n v="0"/>
    <s v="Completed"/>
    <s v="Sandeep Rao"/>
    <s v="Bank Transfer"/>
    <n v="24"/>
    <n v="57.14"/>
    <n v="42000"/>
    <x v="1"/>
  </r>
  <r>
    <s v="ORD1390"/>
    <d v="2024-01-18T00:00:00"/>
    <s v="C029"/>
    <s v="Network Setup &amp; Config"/>
    <x v="3"/>
    <n v="5"/>
    <n v="221000"/>
    <n v="110000"/>
    <n v="111000"/>
    <n v="15"/>
    <s v="In Progress"/>
    <s v="Amit Verma"/>
    <s v="Bank Transfer"/>
    <n v="24"/>
    <n v="50.23"/>
    <n v="44200"/>
    <x v="0"/>
  </r>
  <r>
    <s v="ORD1391"/>
    <d v="2024-03-29T00:00:00"/>
    <s v="C006"/>
    <s v="Cybersecurity Audit"/>
    <x v="0"/>
    <n v="2"/>
    <n v="120000"/>
    <n v="50000"/>
    <n v="70000"/>
    <n v="0"/>
    <s v="Completed"/>
    <s v="Nikhil Gupta"/>
    <s v="Bank Transfer"/>
    <n v="24"/>
    <n v="58.33"/>
    <n v="60000"/>
    <x v="2"/>
  </r>
  <r>
    <s v="ORD1392"/>
    <d v="2024-04-13T00:00:00"/>
    <s v="C021"/>
    <s v="ERP Implementation"/>
    <x v="6"/>
    <n v="5"/>
    <n v="1045000"/>
    <n v="450000"/>
    <n v="595000"/>
    <n v="5"/>
    <s v="Completed"/>
    <s v="Priya Nair"/>
    <s v="Bank Transfer"/>
    <n v="24"/>
    <n v="56.94"/>
    <n v="209000"/>
    <x v="2"/>
  </r>
  <r>
    <s v="ORD1393"/>
    <d v="2024-10-11T00:00:00"/>
    <s v="C011"/>
    <s v="Firewall &amp; Network Security"/>
    <x v="0"/>
    <n v="5"/>
    <n v="237500"/>
    <n v="100000"/>
    <n v="137500"/>
    <n v="5"/>
    <s v="Completed"/>
    <s v="Pooja Singh"/>
    <s v="Net Banking"/>
    <n v="24"/>
    <n v="57.89"/>
    <n v="47500"/>
    <x v="0"/>
  </r>
  <r>
    <s v="ORD1394"/>
    <d v="2024-02-27T00:00:00"/>
    <s v="C005"/>
    <s v="Web Portal Development"/>
    <x v="5"/>
    <n v="5"/>
    <n v="652500"/>
    <n v="300000"/>
    <n v="352500"/>
    <n v="10"/>
    <s v="Completed"/>
    <s v="Priya Nair"/>
    <s v="Net Banking"/>
    <n v="3"/>
    <n v="54.02"/>
    <n v="130500"/>
    <x v="2"/>
  </r>
  <r>
    <s v="ORD1395"/>
    <d v="2024-05-26T00:00:00"/>
    <s v="C029"/>
    <s v="AI/ML Model Development"/>
    <x v="4"/>
    <n v="4"/>
    <n v="1064000"/>
    <n v="480000"/>
    <n v="584000"/>
    <n v="5"/>
    <s v="Completed"/>
    <s v="Sunita Pillai"/>
    <s v="Net Banking"/>
    <n v="24"/>
    <n v="54.89"/>
    <n v="266000"/>
    <x v="0"/>
  </r>
  <r>
    <s v="ORD1396"/>
    <d v="2024-11-17T00:00:00"/>
    <s v="C005"/>
    <s v="API Integration Service"/>
    <x v="5"/>
    <n v="5"/>
    <n v="374000"/>
    <n v="190000"/>
    <n v="184000"/>
    <n v="15"/>
    <s v="Cancelled"/>
    <s v="Nikhil Gupta"/>
    <s v="Bank Transfer"/>
    <n v="24"/>
    <n v="49.2"/>
    <n v="74800"/>
    <x v="2"/>
  </r>
  <r>
    <s v="ORD1397"/>
    <d v="2024-06-18T00:00:00"/>
    <s v="C002"/>
    <s v="Annual AMC Contract"/>
    <x v="3"/>
    <n v="3"/>
    <n v="119700"/>
    <n v="54000"/>
    <n v="65700"/>
    <n v="5"/>
    <s v="Completed"/>
    <s v="Kavita Joshi"/>
    <s v="Cheque"/>
    <n v="12"/>
    <n v="54.89"/>
    <n v="39900"/>
    <x v="2"/>
  </r>
  <r>
    <s v="ORD1398"/>
    <d v="2024-05-23T00:00:00"/>
    <s v="C028"/>
    <s v="Enterprise CRM Software"/>
    <x v="6"/>
    <n v="2"/>
    <n v="190000"/>
    <n v="80000"/>
    <n v="110000"/>
    <n v="0"/>
    <s v="Completed"/>
    <s v="Sunita Pillai"/>
    <s v="Cheque"/>
    <n v="12"/>
    <n v="57.89"/>
    <n v="95000"/>
    <x v="0"/>
  </r>
  <r>
    <s v="ORD1399"/>
    <d v="2024-08-01T00:00:00"/>
    <s v="C003"/>
    <s v="Cybersecurity Audit"/>
    <x v="0"/>
    <n v="4"/>
    <n v="240000"/>
    <n v="100000"/>
    <n v="140000"/>
    <n v="0"/>
    <s v="Completed"/>
    <s v="Sunita Pillai"/>
    <s v="Net Banking"/>
    <n v="12"/>
    <n v="58.33"/>
    <n v="60000"/>
    <x v="0"/>
  </r>
  <r>
    <s v="ORD1400"/>
    <d v="2024-01-29T00:00:00"/>
    <s v="C006"/>
    <s v="AWS Management Package"/>
    <x v="1"/>
    <n v="3"/>
    <n v="306000"/>
    <n v="150000"/>
    <n v="156000"/>
    <n v="15"/>
    <s v="In Progress"/>
    <s v="Nikhil Gupta"/>
    <s v="Credit Card"/>
    <n v="3"/>
    <n v="50.98"/>
    <n v="102000"/>
    <x v="2"/>
  </r>
  <r>
    <s v="ORD1401"/>
    <d v="2024-10-22T00:00:00"/>
    <s v="C027"/>
    <s v="Cloud Migration Service"/>
    <x v="1"/>
    <n v="2"/>
    <n v="280000"/>
    <n v="120000"/>
    <n v="160000"/>
    <n v="0"/>
    <s v="Completed"/>
    <s v="Rohit Sharma"/>
    <s v="Cheque"/>
    <n v="6"/>
    <n v="57.14"/>
    <n v="140000"/>
    <x v="1"/>
  </r>
  <r>
    <s v="ORD1402"/>
    <d v="2024-05-20T00:00:00"/>
    <s v="C015"/>
    <s v="Network Setup &amp; Config"/>
    <x v="3"/>
    <n v="4"/>
    <n v="176800"/>
    <n v="88000"/>
    <n v="88800"/>
    <n v="15"/>
    <s v="Completed"/>
    <s v="Rohit Sharma"/>
    <s v="Credit Card"/>
    <n v="12"/>
    <n v="50.23"/>
    <n v="44200"/>
    <x v="2"/>
  </r>
  <r>
    <s v="ORD1403"/>
    <d v="2024-09-07T00:00:00"/>
    <s v="C006"/>
    <s v="Annual AMC Contract"/>
    <x v="3"/>
    <n v="5"/>
    <n v="189000"/>
    <n v="90000"/>
    <n v="99000"/>
    <n v="10"/>
    <s v="Completed"/>
    <s v="Kavita Joshi"/>
    <s v="Credit Card"/>
    <n v="12"/>
    <n v="52.38"/>
    <n v="37800"/>
    <x v="2"/>
  </r>
  <r>
    <s v="ORD1404"/>
    <d v="2024-09-30T00:00:00"/>
    <s v="C013"/>
    <s v="Cloud Migration Service"/>
    <x v="1"/>
    <n v="2"/>
    <n v="224000"/>
    <n v="120000"/>
    <n v="104000"/>
    <n v="20"/>
    <s v="In Progress"/>
    <s v="Deepa Iyer"/>
    <s v="Credit Card"/>
    <n v="6"/>
    <n v="46.43"/>
    <n v="112000"/>
    <x v="1"/>
  </r>
  <r>
    <s v="ORD1405"/>
    <d v="2024-12-19T00:00:00"/>
    <s v="C014"/>
    <s v="Network Setup &amp; Config"/>
    <x v="3"/>
    <n v="1"/>
    <n v="41600"/>
    <n v="22000"/>
    <n v="19600"/>
    <n v="20"/>
    <s v="Cancelled"/>
    <s v="Rohit Sharma"/>
    <s v="UPI"/>
    <n v="6"/>
    <n v="47.12"/>
    <n v="41600"/>
    <x v="0"/>
  </r>
  <r>
    <s v="ORD1406"/>
    <d v="2024-09-28T00:00:00"/>
    <s v="C008"/>
    <s v="Firewall &amp; Network Security"/>
    <x v="0"/>
    <n v="5"/>
    <n v="200000"/>
    <n v="100000"/>
    <n v="100000"/>
    <n v="20"/>
    <s v="Completed"/>
    <s v="Sandeep Rao"/>
    <s v="UPI"/>
    <n v="24"/>
    <n v="50"/>
    <n v="40000"/>
    <x v="1"/>
  </r>
  <r>
    <s v="ORD1407"/>
    <d v="2024-06-27T00:00:00"/>
    <s v="C007"/>
    <s v="IT Support &amp; Maintenance"/>
    <x v="3"/>
    <n v="3"/>
    <n v="89250"/>
    <n v="45000"/>
    <n v="44250"/>
    <n v="15"/>
    <s v="In Progress"/>
    <s v="Pooja Singh"/>
    <s v="UPI"/>
    <n v="3"/>
    <n v="49.58"/>
    <n v="29750"/>
    <x v="2"/>
  </r>
  <r>
    <s v="ORD1408"/>
    <d v="2024-01-04T00:00:00"/>
    <s v="C022"/>
    <s v="AI/ML Model Development"/>
    <x v="4"/>
    <n v="5"/>
    <n v="1190000"/>
    <n v="600000"/>
    <n v="590000"/>
    <n v="15"/>
    <s v="In Progress"/>
    <s v="Pooja Singh"/>
    <s v="Cheque"/>
    <n v="12"/>
    <n v="49.58"/>
    <n v="238000"/>
    <x v="0"/>
  </r>
  <r>
    <s v="ORD1409"/>
    <d v="2024-10-05T00:00:00"/>
    <s v="C011"/>
    <s v="Firewall &amp; Network Security"/>
    <x v="0"/>
    <n v="3"/>
    <n v="120000"/>
    <n v="60000"/>
    <n v="60000"/>
    <n v="20"/>
    <s v="Completed"/>
    <s v="Sandeep Rao"/>
    <s v="Cheque"/>
    <n v="6"/>
    <n v="50"/>
    <n v="40000"/>
    <x v="0"/>
  </r>
  <r>
    <s v="ORD1410"/>
    <d v="2024-03-17T00:00:00"/>
    <s v="C008"/>
    <s v="Cloud Migration Service"/>
    <x v="1"/>
    <n v="5"/>
    <n v="665000"/>
    <n v="300000"/>
    <n v="365000"/>
    <n v="5"/>
    <s v="Cancelled"/>
    <s v="Kavita Joshi"/>
    <s v="Credit Card"/>
    <n v="3"/>
    <n v="54.89"/>
    <n v="133000"/>
    <x v="1"/>
  </r>
  <r>
    <s v="ORD1411"/>
    <d v="2024-12-01T00:00:00"/>
    <s v="C010"/>
    <s v="Firewall &amp; Network Security"/>
    <x v="0"/>
    <n v="4"/>
    <n v="190000"/>
    <n v="80000"/>
    <n v="110000"/>
    <n v="5"/>
    <s v="Completed"/>
    <s v="Rohit Sharma"/>
    <s v="Net Banking"/>
    <n v="6"/>
    <n v="57.89"/>
    <n v="47500"/>
    <x v="0"/>
  </r>
  <r>
    <s v="ORD1412"/>
    <d v="2024-06-24T00:00:00"/>
    <s v="C008"/>
    <s v="Mobile App Development"/>
    <x v="5"/>
    <n v="4"/>
    <n v="680000"/>
    <n v="340000"/>
    <n v="340000"/>
    <n v="15"/>
    <s v="Completed"/>
    <s v="Arjun Mehta"/>
    <s v="Cheque"/>
    <n v="6"/>
    <n v="50"/>
    <n v="170000"/>
    <x v="1"/>
  </r>
  <r>
    <s v="ORD1413"/>
    <d v="2024-12-02T00:00:00"/>
    <s v="C006"/>
    <s v="Data Analytics Dashboard"/>
    <x v="2"/>
    <n v="1"/>
    <n v="95000"/>
    <n v="45000"/>
    <n v="50000"/>
    <n v="5"/>
    <s v="Completed"/>
    <s v="Sandeep Rao"/>
    <s v="Net Banking"/>
    <n v="6"/>
    <n v="52.63"/>
    <n v="95000"/>
    <x v="2"/>
  </r>
  <r>
    <s v="ORD1414"/>
    <d v="2024-12-14T00:00:00"/>
    <s v="C021"/>
    <s v="AWS Management Package"/>
    <x v="1"/>
    <n v="2"/>
    <n v="228000"/>
    <n v="100000"/>
    <n v="128000"/>
    <n v="5"/>
    <s v="Completed"/>
    <s v="Sandeep Rao"/>
    <s v="UPI"/>
    <n v="12"/>
    <n v="56.14"/>
    <n v="114000"/>
    <x v="2"/>
  </r>
  <r>
    <s v="ORD1415"/>
    <d v="2024-11-03T00:00:00"/>
    <s v="C015"/>
    <s v="Enterprise CRM Software"/>
    <x v="6"/>
    <n v="4"/>
    <n v="380000"/>
    <n v="160000"/>
    <n v="220000"/>
    <n v="0"/>
    <s v="Cancelled"/>
    <s v="Pooja Singh"/>
    <s v="Net Banking"/>
    <n v="3"/>
    <n v="57.89"/>
    <n v="95000"/>
    <x v="2"/>
  </r>
  <r>
    <s v="ORD1416"/>
    <d v="2024-08-29T00:00:00"/>
    <s v="C017"/>
    <s v="Enterprise CRM Software"/>
    <x v="6"/>
    <n v="4"/>
    <n v="342000"/>
    <n v="160000"/>
    <n v="182000"/>
    <n v="10"/>
    <s v="Completed"/>
    <s v="Nikhil Gupta"/>
    <s v="Bank Transfer"/>
    <n v="6"/>
    <n v="53.22"/>
    <n v="85500"/>
    <x v="0"/>
  </r>
  <r>
    <s v="ORD1417"/>
    <d v="2024-03-11T00:00:00"/>
    <s v="C011"/>
    <s v="RPA Implementation"/>
    <x v="4"/>
    <n v="5"/>
    <n v="760000"/>
    <n v="350000"/>
    <n v="410000"/>
    <n v="5"/>
    <s v="Completed"/>
    <s v="Kavita Joshi"/>
    <s v="Credit Card"/>
    <n v="3"/>
    <n v="53.95"/>
    <n v="152000"/>
    <x v="0"/>
  </r>
  <r>
    <s v="ORD1418"/>
    <d v="2024-09-06T00:00:00"/>
    <s v="C006"/>
    <s v="Business Intelligence Report"/>
    <x v="2"/>
    <n v="1"/>
    <n v="65000"/>
    <n v="28000"/>
    <n v="37000"/>
    <n v="0"/>
    <s v="Completed"/>
    <s v="Sandeep Rao"/>
    <s v="Credit Card"/>
    <n v="6"/>
    <n v="56.92"/>
    <n v="65000"/>
    <x v="2"/>
  </r>
  <r>
    <s v="ORD1419"/>
    <d v="2024-10-22T00:00:00"/>
    <s v="C016"/>
    <s v="AWS Management Package"/>
    <x v="1"/>
    <n v="2"/>
    <n v="216000"/>
    <n v="100000"/>
    <n v="116000"/>
    <n v="10"/>
    <s v="Completed"/>
    <s v="Nikhil Gupta"/>
    <s v="UPI"/>
    <n v="24"/>
    <n v="53.7"/>
    <n v="108000"/>
    <x v="0"/>
  </r>
  <r>
    <s v="ORD1420"/>
    <d v="2024-09-01T00:00:00"/>
    <s v="C002"/>
    <s v="Mobile App Development"/>
    <x v="5"/>
    <n v="2"/>
    <n v="340000"/>
    <n v="170000"/>
    <n v="170000"/>
    <n v="15"/>
    <s v="Completed"/>
    <s v="Rohit Sharma"/>
    <s v="Cheque"/>
    <n v="6"/>
    <n v="50"/>
    <n v="170000"/>
    <x v="2"/>
  </r>
  <r>
    <s v="ORD1421"/>
    <d v="2024-01-10T00:00:00"/>
    <s v="C021"/>
    <s v="Penetration Testing"/>
    <x v="0"/>
    <n v="2"/>
    <n v="119000"/>
    <n v="60000"/>
    <n v="59000"/>
    <n v="15"/>
    <s v="Completed"/>
    <s v="Sandeep Rao"/>
    <s v="Credit Card"/>
    <n v="3"/>
    <n v="49.58"/>
    <n v="59500"/>
    <x v="2"/>
  </r>
  <r>
    <s v="ORD1422"/>
    <d v="2024-07-15T00:00:00"/>
    <s v="C010"/>
    <s v="HR Management System"/>
    <x v="6"/>
    <n v="1"/>
    <n v="64000"/>
    <n v="35000"/>
    <n v="29000"/>
    <n v="20"/>
    <s v="Completed"/>
    <s v="Sandeep Rao"/>
    <s v="Cheque"/>
    <n v="24"/>
    <n v="45.31"/>
    <n v="64000"/>
    <x v="0"/>
  </r>
  <r>
    <s v="ORD1423"/>
    <d v="2024-09-23T00:00:00"/>
    <s v="C011"/>
    <s v="RPA Implementation"/>
    <x v="4"/>
    <n v="2"/>
    <n v="304000"/>
    <n v="140000"/>
    <n v="164000"/>
    <n v="5"/>
    <s v="Completed"/>
    <s v="Kavita Joshi"/>
    <s v="Credit Card"/>
    <n v="6"/>
    <n v="53.95"/>
    <n v="152000"/>
    <x v="0"/>
  </r>
  <r>
    <s v="ORD1424"/>
    <d v="2024-10-25T00:00:00"/>
    <s v="C024"/>
    <s v="ERP Implementation"/>
    <x v="6"/>
    <n v="2"/>
    <n v="374000"/>
    <n v="180000"/>
    <n v="194000"/>
    <n v="15"/>
    <s v="Completed"/>
    <s v="Pooja Singh"/>
    <s v="Net Banking"/>
    <n v="6"/>
    <n v="51.87"/>
    <n v="187000"/>
    <x v="1"/>
  </r>
  <r>
    <s v="ORD1425"/>
    <d v="2024-03-04T00:00:00"/>
    <s v="C021"/>
    <s v="Cloud Migration Service"/>
    <x v="1"/>
    <n v="4"/>
    <n v="476000"/>
    <n v="240000"/>
    <n v="236000"/>
    <n v="15"/>
    <s v="Completed"/>
    <s v="Arjun Mehta"/>
    <s v="Net Banking"/>
    <n v="3"/>
    <n v="49.58"/>
    <n v="119000"/>
    <x v="2"/>
  </r>
  <r>
    <s v="ORD1426"/>
    <d v="2024-10-31T00:00:00"/>
    <s v="C022"/>
    <s v="Enterprise CRM Software"/>
    <x v="6"/>
    <n v="1"/>
    <n v="95000"/>
    <n v="40000"/>
    <n v="55000"/>
    <n v="0"/>
    <s v="Cancelled"/>
    <s v="Priya Nair"/>
    <s v="UPI"/>
    <n v="24"/>
    <n v="57.89"/>
    <n v="95000"/>
    <x v="0"/>
  </r>
  <r>
    <s v="ORD1427"/>
    <d v="2024-10-29T00:00:00"/>
    <s v="C016"/>
    <s v="ERP Implementation"/>
    <x v="6"/>
    <n v="2"/>
    <n v="374000"/>
    <n v="180000"/>
    <n v="194000"/>
    <n v="15"/>
    <s v="Cancelled"/>
    <s v="Rohit Sharma"/>
    <s v="Cheque"/>
    <n v="24"/>
    <n v="51.87"/>
    <n v="187000"/>
    <x v="0"/>
  </r>
  <r>
    <s v="ORD1428"/>
    <d v="2024-12-02T00:00:00"/>
    <s v="C009"/>
    <s v="API Integration Service"/>
    <x v="5"/>
    <n v="5"/>
    <n v="374000"/>
    <n v="190000"/>
    <n v="184000"/>
    <n v="15"/>
    <s v="Completed"/>
    <s v="Nikhil Gupta"/>
    <s v="Bank Transfer"/>
    <n v="3"/>
    <n v="49.2"/>
    <n v="74800"/>
    <x v="0"/>
  </r>
  <r>
    <s v="ORD1429"/>
    <d v="2024-10-10T00:00:00"/>
    <s v="C016"/>
    <s v="Cybersecurity Audit"/>
    <x v="0"/>
    <n v="5"/>
    <n v="300000"/>
    <n v="125000"/>
    <n v="175000"/>
    <n v="0"/>
    <s v="Completed"/>
    <s v="Arjun Mehta"/>
    <s v="Credit Card"/>
    <n v="12"/>
    <n v="58.33"/>
    <n v="60000"/>
    <x v="0"/>
  </r>
  <r>
    <s v="ORD1430"/>
    <d v="2024-12-26T00:00:00"/>
    <s v="C006"/>
    <s v="Cloud Migration Service"/>
    <x v="1"/>
    <n v="5"/>
    <n v="665000"/>
    <n v="300000"/>
    <n v="365000"/>
    <n v="5"/>
    <s v="Completed"/>
    <s v="Sunita Pillai"/>
    <s v="Cheque"/>
    <n v="6"/>
    <n v="54.89"/>
    <n v="133000"/>
    <x v="2"/>
  </r>
  <r>
    <s v="ORD1431"/>
    <d v="2024-10-08T00:00:00"/>
    <s v="C030"/>
    <s v="Enterprise CRM Software"/>
    <x v="6"/>
    <n v="5"/>
    <n v="403750"/>
    <n v="200000"/>
    <n v="203750"/>
    <n v="15"/>
    <s v="Completed"/>
    <s v="Amit Verma"/>
    <s v="Bank Transfer"/>
    <n v="3"/>
    <n v="50.46"/>
    <n v="80750"/>
    <x v="1"/>
  </r>
  <r>
    <s v="ORD1432"/>
    <d v="2024-02-21T00:00:00"/>
    <s v="C021"/>
    <s v="Penetration Testing"/>
    <x v="0"/>
    <n v="4"/>
    <n v="266000"/>
    <n v="120000"/>
    <n v="146000"/>
    <n v="5"/>
    <s v="Completed"/>
    <s v="Sunita Pillai"/>
    <s v="Bank Transfer"/>
    <n v="3"/>
    <n v="54.89"/>
    <n v="66500"/>
    <x v="2"/>
  </r>
  <r>
    <s v="ORD1433"/>
    <d v="2024-03-30T00:00:00"/>
    <s v="C028"/>
    <s v="Data Analytics Dashboard"/>
    <x v="2"/>
    <n v="3"/>
    <n v="240000"/>
    <n v="135000"/>
    <n v="105000"/>
    <n v="20"/>
    <s v="Cancelled"/>
    <s v="Kavita Joshi"/>
    <s v="UPI"/>
    <n v="3"/>
    <n v="43.75"/>
    <n v="80000"/>
    <x v="0"/>
  </r>
  <r>
    <s v="ORD1434"/>
    <d v="2024-02-18T00:00:00"/>
    <s v="C029"/>
    <s v="Cloud Migration Service"/>
    <x v="1"/>
    <n v="1"/>
    <n v="112000"/>
    <n v="60000"/>
    <n v="52000"/>
    <n v="20"/>
    <s v="Completed"/>
    <s v="Amit Verma"/>
    <s v="Cheque"/>
    <n v="12"/>
    <n v="46.43"/>
    <n v="112000"/>
    <x v="0"/>
  </r>
  <r>
    <s v="ORD1435"/>
    <d v="2024-08-12T00:00:00"/>
    <s v="C009"/>
    <s v="AWS Management Package"/>
    <x v="1"/>
    <n v="3"/>
    <n v="288000"/>
    <n v="150000"/>
    <n v="138000"/>
    <n v="20"/>
    <s v="Completed"/>
    <s v="Amit Verma"/>
    <s v="Bank Transfer"/>
    <n v="24"/>
    <n v="47.92"/>
    <n v="96000"/>
    <x v="0"/>
  </r>
  <r>
    <s v="ORD1436"/>
    <d v="2024-07-23T00:00:00"/>
    <s v="C009"/>
    <s v="Chatbot Development"/>
    <x v="4"/>
    <n v="4"/>
    <n v="416000"/>
    <n v="220000"/>
    <n v="196000"/>
    <n v="20"/>
    <s v="Completed"/>
    <s v="Amit Verma"/>
    <s v="Bank Transfer"/>
    <n v="6"/>
    <n v="47.12"/>
    <n v="104000"/>
    <x v="0"/>
  </r>
  <r>
    <s v="ORD1437"/>
    <d v="2024-12-22T00:00:00"/>
    <s v="C028"/>
    <s v="HR Management System"/>
    <x v="6"/>
    <n v="1"/>
    <n v="76000"/>
    <n v="35000"/>
    <n v="41000"/>
    <n v="5"/>
    <s v="In Progress"/>
    <s v="Sunita Pillai"/>
    <s v="Net Banking"/>
    <n v="24"/>
    <n v="53.95"/>
    <n v="76000"/>
    <x v="0"/>
  </r>
  <r>
    <s v="ORD1438"/>
    <d v="2024-04-02T00:00:00"/>
    <s v="C025"/>
    <s v="AI/ML Model Development"/>
    <x v="4"/>
    <n v="5"/>
    <n v="1400000"/>
    <n v="600000"/>
    <n v="800000"/>
    <n v="0"/>
    <s v="Cancelled"/>
    <s v="Amit Verma"/>
    <s v="UPI"/>
    <n v="24"/>
    <n v="57.14"/>
    <n v="280000"/>
    <x v="1"/>
  </r>
  <r>
    <s v="ORD1439"/>
    <d v="2024-02-27T00:00:00"/>
    <s v="C015"/>
    <s v="Cloud Migration Service"/>
    <x v="1"/>
    <n v="1"/>
    <n v="133000"/>
    <n v="60000"/>
    <n v="73000"/>
    <n v="5"/>
    <s v="Cancelled"/>
    <s v="Kavita Joshi"/>
    <s v="Bank Transfer"/>
    <n v="6"/>
    <n v="54.89"/>
    <n v="133000"/>
    <x v="2"/>
  </r>
  <r>
    <s v="ORD1440"/>
    <d v="2024-12-08T00:00:00"/>
    <s v="C017"/>
    <s v="Network Setup &amp; Config"/>
    <x v="3"/>
    <n v="5"/>
    <n v="260000"/>
    <n v="110000"/>
    <n v="150000"/>
    <n v="0"/>
    <s v="Completed"/>
    <s v="Deepa Iyer"/>
    <s v="UPI"/>
    <n v="12"/>
    <n v="57.69"/>
    <n v="52000"/>
    <x v="0"/>
  </r>
  <r>
    <s v="ORD1441"/>
    <d v="2024-12-05T00:00:00"/>
    <s v="C013"/>
    <s v="ERP Implementation"/>
    <x v="6"/>
    <n v="5"/>
    <n v="990000"/>
    <n v="450000"/>
    <n v="540000"/>
    <n v="10"/>
    <s v="Completed"/>
    <s v="Rohit Sharma"/>
    <s v="Credit Card"/>
    <n v="24"/>
    <n v="54.55"/>
    <n v="198000"/>
    <x v="1"/>
  </r>
  <r>
    <s v="ORD1442"/>
    <d v="2024-09-10T00:00:00"/>
    <s v="C003"/>
    <s v="Annual AMC Contract"/>
    <x v="3"/>
    <n v="3"/>
    <n v="126000"/>
    <n v="54000"/>
    <n v="72000"/>
    <n v="0"/>
    <s v="Completed"/>
    <s v="Sandeep Rao"/>
    <s v="Bank Transfer"/>
    <n v="6"/>
    <n v="57.14"/>
    <n v="42000"/>
    <x v="0"/>
  </r>
  <r>
    <s v="ORD1443"/>
    <d v="2024-10-08T00:00:00"/>
    <s v="C013"/>
    <s v="Penetration Testing"/>
    <x v="0"/>
    <n v="1"/>
    <n v="66500"/>
    <n v="30000"/>
    <n v="36500"/>
    <n v="5"/>
    <s v="Completed"/>
    <s v="Pooja Singh"/>
    <s v="UPI"/>
    <n v="3"/>
    <n v="54.89"/>
    <n v="66500"/>
    <x v="1"/>
  </r>
  <r>
    <s v="ORD1444"/>
    <d v="2024-09-12T00:00:00"/>
    <s v="C004"/>
    <s v="Annual AMC Contract"/>
    <x v="3"/>
    <n v="1"/>
    <n v="42000"/>
    <n v="18000"/>
    <n v="24000"/>
    <n v="0"/>
    <s v="Completed"/>
    <s v="Nikhil Gupta"/>
    <s v="Bank Transfer"/>
    <n v="3"/>
    <n v="57.14"/>
    <n v="42000"/>
    <x v="1"/>
  </r>
  <r>
    <s v="ORD1445"/>
    <d v="2024-02-16T00:00:00"/>
    <s v="C020"/>
    <s v="Data Analytics Dashboard"/>
    <x v="2"/>
    <n v="5"/>
    <n v="450000"/>
    <n v="225000"/>
    <n v="225000"/>
    <n v="10"/>
    <s v="Completed"/>
    <s v="Sunita Pillai"/>
    <s v="Cheque"/>
    <n v="12"/>
    <n v="50"/>
    <n v="90000"/>
    <x v="1"/>
  </r>
  <r>
    <s v="ORD1446"/>
    <d v="2024-01-28T00:00:00"/>
    <s v="C028"/>
    <s v="IT Support &amp; Maintenance"/>
    <x v="3"/>
    <n v="3"/>
    <n v="94500"/>
    <n v="45000"/>
    <n v="49500"/>
    <n v="10"/>
    <s v="In Progress"/>
    <s v="Pooja Singh"/>
    <s v="UPI"/>
    <n v="12"/>
    <n v="52.38"/>
    <n v="31500"/>
    <x v="0"/>
  </r>
  <r>
    <s v="ORD1447"/>
    <d v="2024-12-20T00:00:00"/>
    <s v="C008"/>
    <s v="Cloud Infrastructure Setup"/>
    <x v="1"/>
    <n v="3"/>
    <n v="513000"/>
    <n v="240000"/>
    <n v="273000"/>
    <n v="5"/>
    <s v="Cancelled"/>
    <s v="Sandeep Rao"/>
    <s v="Net Banking"/>
    <n v="12"/>
    <n v="53.22"/>
    <n v="171000"/>
    <x v="1"/>
  </r>
  <r>
    <s v="ORD1448"/>
    <d v="2024-10-18T00:00:00"/>
    <s v="C016"/>
    <s v="ERP Implementation"/>
    <x v="6"/>
    <n v="4"/>
    <n v="880000"/>
    <n v="360000"/>
    <n v="520000"/>
    <n v="0"/>
    <s v="Completed"/>
    <s v="Pooja Singh"/>
    <s v="Credit Card"/>
    <n v="6"/>
    <n v="59.09"/>
    <n v="220000"/>
    <x v="0"/>
  </r>
  <r>
    <s v="ORD1449"/>
    <d v="2024-03-02T00:00:00"/>
    <s v="C013"/>
    <s v="Cybersecurity Audit"/>
    <x v="0"/>
    <n v="4"/>
    <n v="192000"/>
    <n v="100000"/>
    <n v="92000"/>
    <n v="20"/>
    <s v="Completed"/>
    <s v="Kavita Joshi"/>
    <s v="Bank Transfer"/>
    <n v="24"/>
    <n v="47.92"/>
    <n v="48000"/>
    <x v="1"/>
  </r>
  <r>
    <s v="ORD1450"/>
    <d v="2024-01-24T00:00:00"/>
    <s v="C027"/>
    <s v="Web Portal Development"/>
    <x v="5"/>
    <n v="1"/>
    <n v="116000"/>
    <n v="60000"/>
    <n v="56000"/>
    <n v="20"/>
    <s v="Completed"/>
    <s v="Sunita Pillai"/>
    <s v="Net Banking"/>
    <n v="6"/>
    <n v="48.28"/>
    <n v="116000"/>
    <x v="1"/>
  </r>
  <r>
    <s v="ORD1451"/>
    <d v="2024-12-30T00:00:00"/>
    <s v="C002"/>
    <s v="Mobile App Development"/>
    <x v="5"/>
    <n v="4"/>
    <n v="640000"/>
    <n v="340000"/>
    <n v="300000"/>
    <n v="20"/>
    <s v="In Progress"/>
    <s v="Sunita Pillai"/>
    <s v="Net Banking"/>
    <n v="6"/>
    <n v="46.88"/>
    <n v="160000"/>
    <x v="2"/>
  </r>
  <r>
    <s v="ORD1452"/>
    <d v="2024-12-20T00:00:00"/>
    <s v="C024"/>
    <s v="ERP Implementation"/>
    <x v="6"/>
    <n v="1"/>
    <n v="209000"/>
    <n v="90000"/>
    <n v="119000"/>
    <n v="5"/>
    <s v="Cancelled"/>
    <s v="Pooja Singh"/>
    <s v="Net Banking"/>
    <n v="12"/>
    <n v="56.94"/>
    <n v="209000"/>
    <x v="1"/>
  </r>
  <r>
    <s v="ORD1453"/>
    <d v="2024-09-15T00:00:00"/>
    <s v="C014"/>
    <s v="API Integration Service"/>
    <x v="5"/>
    <n v="2"/>
    <n v="167200"/>
    <n v="76000"/>
    <n v="91200"/>
    <n v="5"/>
    <s v="Completed"/>
    <s v="Kavita Joshi"/>
    <s v="Cheque"/>
    <n v="24"/>
    <n v="54.55"/>
    <n v="83600"/>
    <x v="0"/>
  </r>
  <r>
    <s v="ORD1454"/>
    <d v="2024-12-13T00:00:00"/>
    <s v="C023"/>
    <s v="Network Setup &amp; Config"/>
    <x v="3"/>
    <n v="3"/>
    <n v="124800"/>
    <n v="66000"/>
    <n v="58800"/>
    <n v="20"/>
    <s v="Cancelled"/>
    <s v="Arjun Mehta"/>
    <s v="Cheque"/>
    <n v="6"/>
    <n v="47.12"/>
    <n v="41600"/>
    <x v="0"/>
  </r>
  <r>
    <s v="ORD1455"/>
    <d v="2024-12-27T00:00:00"/>
    <s v="C010"/>
    <s v="AI/ML Model Development"/>
    <x v="4"/>
    <n v="2"/>
    <n v="476000"/>
    <n v="240000"/>
    <n v="236000"/>
    <n v="15"/>
    <s v="Cancelled"/>
    <s v="Amit Verma"/>
    <s v="Net Banking"/>
    <n v="12"/>
    <n v="49.58"/>
    <n v="238000"/>
    <x v="0"/>
  </r>
  <r>
    <s v="ORD1456"/>
    <d v="2024-11-11T00:00:00"/>
    <s v="C018"/>
    <s v="Annual AMC Contract"/>
    <x v="3"/>
    <n v="5"/>
    <n v="189000"/>
    <n v="90000"/>
    <n v="99000"/>
    <n v="10"/>
    <s v="Cancelled"/>
    <s v="Nikhil Gupta"/>
    <s v="Net Banking"/>
    <n v="12"/>
    <n v="52.38"/>
    <n v="37800"/>
    <x v="0"/>
  </r>
  <r>
    <s v="ORD1457"/>
    <d v="2024-08-04T00:00:00"/>
    <s v="C017"/>
    <s v="Enterprise CRM Software"/>
    <x v="6"/>
    <n v="1"/>
    <n v="90250"/>
    <n v="40000"/>
    <n v="50250"/>
    <n v="5"/>
    <s v="Completed"/>
    <s v="Rohit Sharma"/>
    <s v="Bank Transfer"/>
    <n v="6"/>
    <n v="55.68"/>
    <n v="90250"/>
    <x v="0"/>
  </r>
  <r>
    <s v="ORD1458"/>
    <d v="2024-05-16T00:00:00"/>
    <s v="C006"/>
    <s v="Data Analytics Dashboard"/>
    <x v="2"/>
    <n v="3"/>
    <n v="300000"/>
    <n v="135000"/>
    <n v="165000"/>
    <n v="0"/>
    <s v="Completed"/>
    <s v="Sandeep Rao"/>
    <s v="Credit Card"/>
    <n v="3"/>
    <n v="55"/>
    <n v="100000"/>
    <x v="2"/>
  </r>
  <r>
    <s v="ORD1459"/>
    <d v="2024-07-02T00:00:00"/>
    <s v="C004"/>
    <s v="API Integration Service"/>
    <x v="5"/>
    <n v="5"/>
    <n v="352000"/>
    <n v="190000"/>
    <n v="162000"/>
    <n v="20"/>
    <s v="Completed"/>
    <s v="Arjun Mehta"/>
    <s v="UPI"/>
    <n v="6"/>
    <n v="46.02"/>
    <n v="70400"/>
    <x v="1"/>
  </r>
  <r>
    <s v="ORD1460"/>
    <d v="2024-09-18T00:00:00"/>
    <s v="C026"/>
    <s v="Data Analytics Dashboard"/>
    <x v="2"/>
    <n v="1"/>
    <n v="95000"/>
    <n v="45000"/>
    <n v="50000"/>
    <n v="5"/>
    <s v="Completed"/>
    <s v="Nikhil Gupta"/>
    <s v="Cheque"/>
    <n v="3"/>
    <n v="52.63"/>
    <n v="95000"/>
    <x v="1"/>
  </r>
  <r>
    <s v="ORD1461"/>
    <d v="2024-01-07T00:00:00"/>
    <s v="C007"/>
    <s v="API Integration Service"/>
    <x v="5"/>
    <n v="4"/>
    <n v="281600"/>
    <n v="152000"/>
    <n v="129600"/>
    <n v="20"/>
    <s v="Completed"/>
    <s v="Kavita Joshi"/>
    <s v="Net Banking"/>
    <n v="6"/>
    <n v="46.02"/>
    <n v="70400"/>
    <x v="2"/>
  </r>
  <r>
    <s v="ORD1462"/>
    <d v="2024-10-19T00:00:00"/>
    <s v="C022"/>
    <s v="AWS Management Package"/>
    <x v="1"/>
    <n v="2"/>
    <n v="240000"/>
    <n v="100000"/>
    <n v="140000"/>
    <n v="0"/>
    <s v="Cancelled"/>
    <s v="Arjun Mehta"/>
    <s v="Bank Transfer"/>
    <n v="24"/>
    <n v="58.33"/>
    <n v="120000"/>
    <x v="0"/>
  </r>
  <r>
    <s v="ORD1463"/>
    <d v="2024-01-21T00:00:00"/>
    <s v="C018"/>
    <s v="Firewall &amp; Network Security"/>
    <x v="0"/>
    <n v="2"/>
    <n v="100000"/>
    <n v="40000"/>
    <n v="60000"/>
    <n v="0"/>
    <s v="In Progress"/>
    <s v="Sandeep Rao"/>
    <s v="Bank Transfer"/>
    <n v="12"/>
    <n v="60"/>
    <n v="50000"/>
    <x v="0"/>
  </r>
  <r>
    <s v="ORD1464"/>
    <d v="2024-08-26T00:00:00"/>
    <s v="C005"/>
    <s v="Cloud Migration Service"/>
    <x v="1"/>
    <n v="2"/>
    <n v="266000"/>
    <n v="120000"/>
    <n v="146000"/>
    <n v="5"/>
    <s v="In Progress"/>
    <s v="Rohit Sharma"/>
    <s v="Net Banking"/>
    <n v="12"/>
    <n v="54.89"/>
    <n v="133000"/>
    <x v="2"/>
  </r>
  <r>
    <s v="ORD1465"/>
    <d v="2024-09-08T00:00:00"/>
    <s v="C018"/>
    <s v="AI/ML Model Development"/>
    <x v="4"/>
    <n v="1"/>
    <n v="224000"/>
    <n v="120000"/>
    <n v="104000"/>
    <n v="20"/>
    <s v="Cancelled"/>
    <s v="Kavita Joshi"/>
    <s v="Net Banking"/>
    <n v="6"/>
    <n v="46.43"/>
    <n v="224000"/>
    <x v="0"/>
  </r>
  <r>
    <s v="ORD1466"/>
    <d v="2024-04-04T00:00:00"/>
    <s v="C026"/>
    <s v="Network Setup &amp; Config"/>
    <x v="3"/>
    <n v="2"/>
    <n v="98800"/>
    <n v="44000"/>
    <n v="54800"/>
    <n v="5"/>
    <s v="In Progress"/>
    <s v="Arjun Mehta"/>
    <s v="UPI"/>
    <n v="3"/>
    <n v="55.47"/>
    <n v="49400"/>
    <x v="1"/>
  </r>
  <r>
    <s v="ORD1467"/>
    <d v="2024-10-24T00:00:00"/>
    <s v="C022"/>
    <s v="Business Intelligence Report"/>
    <x v="2"/>
    <n v="3"/>
    <n v="185250"/>
    <n v="84000"/>
    <n v="101250"/>
    <n v="5"/>
    <s v="Completed"/>
    <s v="Deepa Iyer"/>
    <s v="Net Banking"/>
    <n v="24"/>
    <n v="54.66"/>
    <n v="61750"/>
    <x v="0"/>
  </r>
  <r>
    <s v="ORD1468"/>
    <d v="2024-10-14T00:00:00"/>
    <s v="C021"/>
    <s v="Cloud Infrastructure Setup"/>
    <x v="1"/>
    <n v="1"/>
    <n v="153000"/>
    <n v="80000"/>
    <n v="73000"/>
    <n v="15"/>
    <s v="Completed"/>
    <s v="Sunita Pillai"/>
    <s v="Credit Card"/>
    <n v="6"/>
    <n v="47.71"/>
    <n v="153000"/>
    <x v="2"/>
  </r>
  <r>
    <s v="ORD1469"/>
    <d v="2024-01-21T00:00:00"/>
    <s v="C011"/>
    <s v="Chatbot Development"/>
    <x v="4"/>
    <n v="1"/>
    <n v="123500"/>
    <n v="55000"/>
    <n v="68500"/>
    <n v="5"/>
    <s v="Completed"/>
    <s v="Arjun Mehta"/>
    <s v="Cheque"/>
    <n v="3"/>
    <n v="55.47"/>
    <n v="123500"/>
    <x v="0"/>
  </r>
  <r>
    <s v="ORD1470"/>
    <d v="2024-09-21T00:00:00"/>
    <s v="C012"/>
    <s v="Network Setup &amp; Config"/>
    <x v="3"/>
    <n v="5"/>
    <n v="247000"/>
    <n v="110000"/>
    <n v="137000"/>
    <n v="5"/>
    <s v="Completed"/>
    <s v="Rohit Sharma"/>
    <s v="Cheque"/>
    <n v="6"/>
    <n v="55.47"/>
    <n v="49400"/>
    <x v="1"/>
  </r>
  <r>
    <s v="ORD1471"/>
    <d v="2024-06-13T00:00:00"/>
    <s v="C004"/>
    <s v="HR Management System"/>
    <x v="6"/>
    <n v="5"/>
    <n v="360000"/>
    <n v="175000"/>
    <n v="185000"/>
    <n v="10"/>
    <s v="Completed"/>
    <s v="Priya Nair"/>
    <s v="Credit Card"/>
    <n v="6"/>
    <n v="51.39"/>
    <n v="72000"/>
    <x v="1"/>
  </r>
  <r>
    <s v="ORD1472"/>
    <d v="2024-12-16T00:00:00"/>
    <s v="C004"/>
    <s v="Cybersecurity Audit"/>
    <x v="0"/>
    <n v="5"/>
    <n v="240000"/>
    <n v="125000"/>
    <n v="115000"/>
    <n v="20"/>
    <s v="Cancelled"/>
    <s v="Nikhil Gupta"/>
    <s v="Bank Transfer"/>
    <n v="6"/>
    <n v="47.92"/>
    <n v="48000"/>
    <x v="1"/>
  </r>
  <r>
    <s v="ORD1473"/>
    <d v="2024-01-13T00:00:00"/>
    <s v="C011"/>
    <s v="Cloud Migration Service"/>
    <x v="1"/>
    <n v="1"/>
    <n v="140000"/>
    <n v="60000"/>
    <n v="80000"/>
    <n v="0"/>
    <s v="Completed"/>
    <s v="Amit Verma"/>
    <s v="Cheque"/>
    <n v="3"/>
    <n v="57.14"/>
    <n v="140000"/>
    <x v="0"/>
  </r>
  <r>
    <s v="ORD1474"/>
    <d v="2024-10-21T00:00:00"/>
    <s v="C030"/>
    <s v="Firewall &amp; Network Security"/>
    <x v="0"/>
    <n v="4"/>
    <n v="190000"/>
    <n v="80000"/>
    <n v="110000"/>
    <n v="5"/>
    <s v="Completed"/>
    <s v="Nikhil Gupta"/>
    <s v="UPI"/>
    <n v="12"/>
    <n v="57.89"/>
    <n v="47500"/>
    <x v="1"/>
  </r>
  <r>
    <s v="ORD1475"/>
    <d v="2024-01-09T00:00:00"/>
    <s v="C004"/>
    <s v="Mobile App Development"/>
    <x v="5"/>
    <n v="1"/>
    <n v="170000"/>
    <n v="85000"/>
    <n v="85000"/>
    <n v="15"/>
    <s v="Cancelled"/>
    <s v="Pooja Singh"/>
    <s v="Bank Transfer"/>
    <n v="3"/>
    <n v="50"/>
    <n v="170000"/>
    <x v="1"/>
  </r>
  <r>
    <s v="ORD1476"/>
    <d v="2024-12-24T00:00:00"/>
    <s v="C012"/>
    <s v="Network Setup &amp; Config"/>
    <x v="3"/>
    <n v="1"/>
    <n v="49400"/>
    <n v="22000"/>
    <n v="27400"/>
    <n v="5"/>
    <s v="Cancelled"/>
    <s v="Sandeep Rao"/>
    <s v="Net Banking"/>
    <n v="3"/>
    <n v="55.47"/>
    <n v="49400"/>
    <x v="1"/>
  </r>
  <r>
    <s v="ORD1477"/>
    <d v="2024-05-24T00:00:00"/>
    <s v="C015"/>
    <s v="Chatbot Development"/>
    <x v="4"/>
    <n v="4"/>
    <n v="416000"/>
    <n v="220000"/>
    <n v="196000"/>
    <n v="20"/>
    <s v="Cancelled"/>
    <s v="Rohit Sharma"/>
    <s v="UPI"/>
    <n v="6"/>
    <n v="47.12"/>
    <n v="104000"/>
    <x v="2"/>
  </r>
  <r>
    <s v="ORD1478"/>
    <d v="2024-11-16T00:00:00"/>
    <s v="C026"/>
    <s v="Mobile App Development"/>
    <x v="5"/>
    <n v="3"/>
    <n v="510000"/>
    <n v="255000"/>
    <n v="255000"/>
    <n v="15"/>
    <s v="Completed"/>
    <s v="Sandeep Rao"/>
    <s v="Cheque"/>
    <n v="3"/>
    <n v="50"/>
    <n v="170000"/>
    <x v="1"/>
  </r>
  <r>
    <s v="ORD1479"/>
    <d v="2024-10-10T00:00:00"/>
    <s v="C005"/>
    <s v="Enterprise CRM Software"/>
    <x v="6"/>
    <n v="1"/>
    <n v="95000"/>
    <n v="40000"/>
    <n v="55000"/>
    <n v="0"/>
    <s v="In Progress"/>
    <s v="Pooja Singh"/>
    <s v="UPI"/>
    <n v="3"/>
    <n v="57.89"/>
    <n v="95000"/>
    <x v="2"/>
  </r>
  <r>
    <s v="ORD1480"/>
    <d v="2024-12-30T00:00:00"/>
    <s v="C029"/>
    <s v="AI/ML Model Development"/>
    <x v="4"/>
    <n v="2"/>
    <n v="532000"/>
    <n v="240000"/>
    <n v="292000"/>
    <n v="5"/>
    <s v="Cancelled"/>
    <s v="Arjun Mehta"/>
    <s v="Credit Card"/>
    <n v="6"/>
    <n v="54.89"/>
    <n v="266000"/>
    <x v="0"/>
  </r>
  <r>
    <s v="ORD1481"/>
    <d v="2024-10-29T00:00:00"/>
    <s v="C007"/>
    <s v="Enterprise CRM Software"/>
    <x v="6"/>
    <n v="2"/>
    <n v="161500"/>
    <n v="80000"/>
    <n v="81500"/>
    <n v="15"/>
    <s v="In Progress"/>
    <s v="Rohit Sharma"/>
    <s v="Net Banking"/>
    <n v="24"/>
    <n v="50.46"/>
    <n v="80750"/>
    <x v="2"/>
  </r>
  <r>
    <s v="ORD1482"/>
    <d v="2024-11-26T00:00:00"/>
    <s v="C010"/>
    <s v="AWS Management Package"/>
    <x v="1"/>
    <n v="3"/>
    <n v="360000"/>
    <n v="150000"/>
    <n v="210000"/>
    <n v="0"/>
    <s v="Completed"/>
    <s v="Pooja Singh"/>
    <s v="UPI"/>
    <n v="12"/>
    <n v="58.33"/>
    <n v="120000"/>
    <x v="0"/>
  </r>
  <r>
    <s v="ORD1483"/>
    <d v="2024-12-19T00:00:00"/>
    <s v="C008"/>
    <s v="Enterprise CRM Software"/>
    <x v="6"/>
    <n v="3"/>
    <n v="256500"/>
    <n v="120000"/>
    <n v="136500"/>
    <n v="10"/>
    <s v="Completed"/>
    <s v="Deepa Iyer"/>
    <s v="Cheque"/>
    <n v="24"/>
    <n v="53.22"/>
    <n v="85500"/>
    <x v="1"/>
  </r>
  <r>
    <s v="ORD1484"/>
    <d v="2024-08-18T00:00:00"/>
    <s v="C022"/>
    <s v="Data Analytics Dashboard"/>
    <x v="2"/>
    <n v="5"/>
    <n v="500000"/>
    <n v="225000"/>
    <n v="275000"/>
    <n v="0"/>
    <s v="In Progress"/>
    <s v="Pooja Singh"/>
    <s v="Cheque"/>
    <n v="12"/>
    <n v="55"/>
    <n v="100000"/>
    <x v="0"/>
  </r>
  <r>
    <s v="ORD1485"/>
    <d v="2024-11-06T00:00:00"/>
    <s v="C008"/>
    <s v="Penetration Testing"/>
    <x v="0"/>
    <n v="4"/>
    <n v="266000"/>
    <n v="120000"/>
    <n v="146000"/>
    <n v="5"/>
    <s v="Completed"/>
    <s v="Amit Verma"/>
    <s v="Cheque"/>
    <n v="24"/>
    <n v="54.89"/>
    <n v="66500"/>
    <x v="1"/>
  </r>
  <r>
    <s v="ORD1486"/>
    <d v="2024-08-24T00:00:00"/>
    <s v="C025"/>
    <s v="Data Analytics Dashboard"/>
    <x v="2"/>
    <n v="4"/>
    <n v="360000"/>
    <n v="180000"/>
    <n v="180000"/>
    <n v="10"/>
    <s v="Completed"/>
    <s v="Amit Verma"/>
    <s v="Net Banking"/>
    <n v="3"/>
    <n v="50"/>
    <n v="90000"/>
    <x v="1"/>
  </r>
  <r>
    <s v="ORD1487"/>
    <d v="2024-05-23T00:00:00"/>
    <s v="C005"/>
    <s v="Mobile App Development"/>
    <x v="5"/>
    <n v="2"/>
    <n v="380000"/>
    <n v="170000"/>
    <n v="210000"/>
    <n v="5"/>
    <s v="Cancelled"/>
    <s v="Priya Nair"/>
    <s v="Bank Transfer"/>
    <n v="3"/>
    <n v="55.26"/>
    <n v="190000"/>
    <x v="2"/>
  </r>
  <r>
    <s v="ORD1488"/>
    <d v="2024-09-16T00:00:00"/>
    <s v="C027"/>
    <s v="Web Portal Development"/>
    <x v="5"/>
    <n v="5"/>
    <n v="688750"/>
    <n v="300000"/>
    <n v="388750"/>
    <n v="5"/>
    <s v="In Progress"/>
    <s v="Deepa Iyer"/>
    <s v="Bank Transfer"/>
    <n v="12"/>
    <n v="56.44"/>
    <n v="137750"/>
    <x v="1"/>
  </r>
  <r>
    <s v="ORD1489"/>
    <d v="2024-10-05T00:00:00"/>
    <s v="C018"/>
    <s v="Annual AMC Contract"/>
    <x v="3"/>
    <n v="2"/>
    <n v="79800"/>
    <n v="36000"/>
    <n v="43800"/>
    <n v="5"/>
    <s v="Completed"/>
    <s v="Deepa Iyer"/>
    <s v="Net Banking"/>
    <n v="12"/>
    <n v="54.89"/>
    <n v="39900"/>
    <x v="0"/>
  </r>
  <r>
    <s v="ORD1490"/>
    <d v="2024-03-09T00:00:00"/>
    <s v="C017"/>
    <s v="AWS Management Package"/>
    <x v="1"/>
    <n v="4"/>
    <n v="456000"/>
    <n v="200000"/>
    <n v="256000"/>
    <n v="5"/>
    <s v="In Progress"/>
    <s v="Rohit Sharma"/>
    <s v="Credit Card"/>
    <n v="6"/>
    <n v="56.14"/>
    <n v="114000"/>
    <x v="0"/>
  </r>
  <r>
    <s v="ORD1491"/>
    <d v="2024-10-17T00:00:00"/>
    <s v="C006"/>
    <s v="Web Portal Development"/>
    <x v="5"/>
    <n v="5"/>
    <n v="616250"/>
    <n v="300000"/>
    <n v="316250"/>
    <n v="15"/>
    <s v="Completed"/>
    <s v="Sunita Pillai"/>
    <s v="Cheque"/>
    <n v="3"/>
    <n v="51.32"/>
    <n v="123250"/>
    <x v="2"/>
  </r>
  <r>
    <s v="ORD1492"/>
    <d v="2024-04-22T00:00:00"/>
    <s v="C008"/>
    <s v="AWS Management Package"/>
    <x v="1"/>
    <n v="3"/>
    <n v="342000"/>
    <n v="150000"/>
    <n v="192000"/>
    <n v="5"/>
    <s v="Completed"/>
    <s v="Rohit Sharma"/>
    <s v="Credit Card"/>
    <n v="12"/>
    <n v="56.14"/>
    <n v="114000"/>
    <x v="1"/>
  </r>
  <r>
    <s v="ORD1493"/>
    <d v="2024-07-17T00:00:00"/>
    <s v="C015"/>
    <s v="Cloud Migration Service"/>
    <x v="1"/>
    <n v="1"/>
    <n v="119000"/>
    <n v="60000"/>
    <n v="59000"/>
    <n v="15"/>
    <s v="Completed"/>
    <s v="Priya Nair"/>
    <s v="Net Banking"/>
    <n v="12"/>
    <n v="49.58"/>
    <n v="119000"/>
    <x v="2"/>
  </r>
  <r>
    <s v="ORD1494"/>
    <d v="2024-05-14T00:00:00"/>
    <s v="C019"/>
    <s v="HR Management System"/>
    <x v="6"/>
    <n v="4"/>
    <n v="272000"/>
    <n v="140000"/>
    <n v="132000"/>
    <n v="15"/>
    <s v="Completed"/>
    <s v="Kavita Joshi"/>
    <s v="Net Banking"/>
    <n v="3"/>
    <n v="48.53"/>
    <n v="68000"/>
    <x v="1"/>
  </r>
  <r>
    <s v="ORD1495"/>
    <d v="2024-10-25T00:00:00"/>
    <s v="C017"/>
    <s v="Chatbot Development"/>
    <x v="4"/>
    <n v="3"/>
    <n v="312000"/>
    <n v="165000"/>
    <n v="147000"/>
    <n v="20"/>
    <s v="Completed"/>
    <s v="Sunita Pillai"/>
    <s v="UPI"/>
    <n v="3"/>
    <n v="47.12"/>
    <n v="104000"/>
    <x v="0"/>
  </r>
  <r>
    <s v="ORD1496"/>
    <d v="2024-09-13T00:00:00"/>
    <s v="C015"/>
    <s v="HR Management System"/>
    <x v="6"/>
    <n v="2"/>
    <n v="160000"/>
    <n v="70000"/>
    <n v="90000"/>
    <n v="0"/>
    <s v="In Progress"/>
    <s v="Sandeep Rao"/>
    <s v="Credit Card"/>
    <n v="6"/>
    <n v="56.25"/>
    <n v="80000"/>
    <x v="2"/>
  </r>
  <r>
    <s v="ORD1497"/>
    <d v="2024-12-13T00:00:00"/>
    <s v="C023"/>
    <s v="Enterprise CRM Software"/>
    <x v="6"/>
    <n v="2"/>
    <n v="180500"/>
    <n v="80000"/>
    <n v="100500"/>
    <n v="5"/>
    <s v="Completed"/>
    <s v="Priya Nair"/>
    <s v="UPI"/>
    <n v="24"/>
    <n v="55.68"/>
    <n v="90250"/>
    <x v="0"/>
  </r>
  <r>
    <s v="ORD1498"/>
    <d v="2024-10-17T00:00:00"/>
    <s v="C021"/>
    <s v="RPA Implementation"/>
    <x v="4"/>
    <n v="1"/>
    <n v="160000"/>
    <n v="70000"/>
    <n v="90000"/>
    <n v="0"/>
    <s v="Completed"/>
    <s v="Amit Verma"/>
    <s v="Net Banking"/>
    <n v="6"/>
    <n v="56.25"/>
    <n v="160000"/>
    <x v="2"/>
  </r>
  <r>
    <s v="ORD1499"/>
    <d v="2024-03-09T00:00:00"/>
    <s v="C002"/>
    <s v="Web Portal Development"/>
    <x v="5"/>
    <n v="2"/>
    <n v="290000"/>
    <n v="120000"/>
    <n v="170000"/>
    <n v="0"/>
    <s v="Completed"/>
    <s v="Sandeep Rao"/>
    <s v="Credit Card"/>
    <n v="24"/>
    <n v="58.62"/>
    <n v="145000"/>
    <x v="2"/>
  </r>
  <r>
    <s v="ORD1500"/>
    <d v="2024-11-02T00:00:00"/>
    <s v="C021"/>
    <s v="Cloud Infrastructure Setup"/>
    <x v="1"/>
    <n v="3"/>
    <n v="540000"/>
    <n v="240000"/>
    <n v="300000"/>
    <n v="0"/>
    <s v="Completed"/>
    <s v="Sunita Pillai"/>
    <s v="Net Banking"/>
    <n v="24"/>
    <n v="55.56"/>
    <n v="18000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">
  <r>
    <s v="ORD1001"/>
    <d v="2024-12-30T00:00:00"/>
    <s v="C009"/>
    <s v="Penetration Testing"/>
    <s v="Security Services"/>
    <n v="2"/>
    <n v="140000"/>
    <n v="60000"/>
    <n v="80000"/>
    <n v="0"/>
    <s v="Cancelled"/>
    <s v="Priya Nair"/>
    <s v="Net Banking"/>
    <n v="3"/>
    <n v="57.14"/>
    <n v="70000"/>
    <s v="South"/>
    <x v="0"/>
    <x v="0"/>
  </r>
  <r>
    <s v="ORD1002"/>
    <d v="2024-10-29T00:00:00"/>
    <s v="C001"/>
    <s v="AWS Management Package"/>
    <s v="Cloud Services"/>
    <n v="2"/>
    <n v="240000"/>
    <n v="100000"/>
    <n v="140000"/>
    <n v="0"/>
    <s v="In Progress"/>
    <s v="Pooja Singh"/>
    <s v="Bank Transfer"/>
    <n v="6"/>
    <n v="58.33"/>
    <n v="120000"/>
    <s v="South"/>
    <x v="1"/>
    <x v="1"/>
  </r>
  <r>
    <s v="ORD1003"/>
    <d v="2024-11-28T00:00:00"/>
    <s v="C014"/>
    <s v="Penetration Testing"/>
    <s v="Security Services"/>
    <n v="4"/>
    <n v="252000"/>
    <n v="120000"/>
    <n v="132000"/>
    <n v="10"/>
    <s v="Completed"/>
    <s v="Rohit Sharma"/>
    <s v="Credit Card"/>
    <n v="24"/>
    <n v="52.38"/>
    <n v="63000"/>
    <s v="South"/>
    <x v="2"/>
    <x v="2"/>
  </r>
  <r>
    <s v="ORD1004"/>
    <d v="2024-10-24T00:00:00"/>
    <s v="C025"/>
    <s v="Business Intelligence Report"/>
    <s v="Analytics"/>
    <n v="1"/>
    <n v="65000"/>
    <n v="28000"/>
    <n v="37000"/>
    <n v="0"/>
    <s v="Completed"/>
    <s v="Priya Nair"/>
    <s v="Cheque"/>
    <n v="12"/>
    <n v="56.92"/>
    <n v="65000"/>
    <s v="North"/>
    <x v="1"/>
    <x v="1"/>
  </r>
  <r>
    <s v="ORD1005"/>
    <d v="2024-10-02T00:00:00"/>
    <s v="C024"/>
    <s v="IT Support &amp; Maintenance"/>
    <s v="IT Support"/>
    <n v="5"/>
    <n v="175000"/>
    <n v="75000"/>
    <n v="100000"/>
    <n v="0"/>
    <s v="Completed"/>
    <s v="Priya Nair"/>
    <s v="Net Banking"/>
    <n v="12"/>
    <n v="57.14"/>
    <n v="35000"/>
    <s v="North"/>
    <x v="1"/>
    <x v="1"/>
  </r>
  <r>
    <s v="ORD1006"/>
    <d v="2024-11-17T00:00:00"/>
    <s v="C028"/>
    <s v="AI/ML Model Development"/>
    <s v="AI &amp; Automation"/>
    <n v="5"/>
    <n v="1400000"/>
    <n v="600000"/>
    <n v="800000"/>
    <n v="0"/>
    <s v="Cancelled"/>
    <s v="Priya Nair"/>
    <s v="Bank Transfer"/>
    <n v="6"/>
    <n v="57.14"/>
    <n v="280000"/>
    <s v="South"/>
    <x v="2"/>
    <x v="2"/>
  </r>
  <r>
    <s v="ORD1007"/>
    <d v="2024-05-28T00:00:00"/>
    <s v="C028"/>
    <s v="Penetration Testing"/>
    <s v="Security Services"/>
    <n v="1"/>
    <n v="66500"/>
    <n v="30000"/>
    <n v="36500"/>
    <n v="5"/>
    <s v="Completed"/>
    <s v="Sunita Pillai"/>
    <s v="Cheque"/>
    <n v="6"/>
    <n v="54.89"/>
    <n v="66500"/>
    <s v="South"/>
    <x v="3"/>
    <x v="3"/>
  </r>
  <r>
    <s v="ORD1008"/>
    <d v="2024-07-08T00:00:00"/>
    <s v="C022"/>
    <s v="Firewall &amp; Network Security"/>
    <s v="Security Services"/>
    <n v="1"/>
    <n v="45000"/>
    <n v="20000"/>
    <n v="25000"/>
    <n v="10"/>
    <s v="Cancelled"/>
    <s v="Amit Verma"/>
    <s v="Net Banking"/>
    <n v="6"/>
    <n v="55.56"/>
    <n v="45000"/>
    <s v="South"/>
    <x v="4"/>
    <x v="4"/>
  </r>
  <r>
    <s v="ORD1009"/>
    <d v="2024-03-24T00:00:00"/>
    <s v="C009"/>
    <s v="Mobile App Development"/>
    <s v="Development"/>
    <n v="2"/>
    <n v="340000"/>
    <n v="170000"/>
    <n v="170000"/>
    <n v="15"/>
    <s v="Completed"/>
    <s v="Rohit Sharma"/>
    <s v="Credit Card"/>
    <n v="3"/>
    <n v="50"/>
    <n v="170000"/>
    <s v="South"/>
    <x v="5"/>
    <x v="5"/>
  </r>
  <r>
    <s v="ORD1010"/>
    <d v="2024-06-10T00:00:00"/>
    <s v="C003"/>
    <s v="Cybersecurity Audit"/>
    <s v="Security Services"/>
    <n v="5"/>
    <n v="255000"/>
    <n v="125000"/>
    <n v="130000"/>
    <n v="15"/>
    <s v="Completed"/>
    <s v="Deepa Iyer"/>
    <s v="UPI"/>
    <n v="24"/>
    <n v="50.98"/>
    <n v="51000"/>
    <s v="South"/>
    <x v="6"/>
    <x v="6"/>
  </r>
  <r>
    <s v="ORD1011"/>
    <d v="2024-11-25T00:00:00"/>
    <s v="C009"/>
    <s v="ERP Implementation"/>
    <s v="Software License"/>
    <n v="2"/>
    <n v="374000"/>
    <n v="180000"/>
    <n v="194000"/>
    <n v="15"/>
    <s v="In Progress"/>
    <s v="Arjun Mehta"/>
    <s v="Cheque"/>
    <n v="24"/>
    <n v="51.87"/>
    <n v="187000"/>
    <s v="South"/>
    <x v="2"/>
    <x v="2"/>
  </r>
  <r>
    <s v="ORD1012"/>
    <d v="2024-10-25T00:00:00"/>
    <s v="C008"/>
    <s v="ERP Implementation"/>
    <s v="Software License"/>
    <n v="5"/>
    <n v="1045000"/>
    <n v="450000"/>
    <n v="595000"/>
    <n v="5"/>
    <s v="Completed"/>
    <s v="Rohit Sharma"/>
    <s v="Bank Transfer"/>
    <n v="6"/>
    <n v="56.94"/>
    <n v="209000"/>
    <s v="North"/>
    <x v="1"/>
    <x v="1"/>
  </r>
  <r>
    <s v="ORD1013"/>
    <d v="2024-12-23T00:00:00"/>
    <s v="C014"/>
    <s v="API Integration Service"/>
    <s v="Development"/>
    <n v="1"/>
    <n v="83600"/>
    <n v="38000"/>
    <n v="45600"/>
    <n v="5"/>
    <s v="Completed"/>
    <s v="Pooja Singh"/>
    <s v="UPI"/>
    <n v="12"/>
    <n v="54.55"/>
    <n v="83600"/>
    <s v="South"/>
    <x v="0"/>
    <x v="0"/>
  </r>
  <r>
    <s v="ORD1014"/>
    <d v="2024-10-10T00:00:00"/>
    <s v="C001"/>
    <s v="Enterprise CRM Software"/>
    <s v="Software License"/>
    <n v="5"/>
    <n v="380000"/>
    <n v="200000"/>
    <n v="180000"/>
    <n v="20"/>
    <s v="Completed"/>
    <s v="Kavita Joshi"/>
    <s v="Bank Transfer"/>
    <n v="12"/>
    <n v="47.37"/>
    <n v="76000"/>
    <s v="South"/>
    <x v="1"/>
    <x v="1"/>
  </r>
  <r>
    <s v="ORD1015"/>
    <d v="2024-09-27T00:00:00"/>
    <s v="C024"/>
    <s v="Firewall &amp; Network Security"/>
    <s v="Security Services"/>
    <n v="5"/>
    <n v="200000"/>
    <n v="100000"/>
    <n v="100000"/>
    <n v="20"/>
    <s v="Completed"/>
    <s v="Arjun Mehta"/>
    <s v="Bank Transfer"/>
    <n v="12"/>
    <n v="50"/>
    <n v="40000"/>
    <s v="North"/>
    <x v="7"/>
    <x v="7"/>
  </r>
  <r>
    <s v="ORD1016"/>
    <d v="2024-11-23T00:00:00"/>
    <s v="C007"/>
    <s v="ERP Implementation"/>
    <s v="Software License"/>
    <n v="3"/>
    <n v="528000"/>
    <n v="270000"/>
    <n v="258000"/>
    <n v="20"/>
    <s v="Completed"/>
    <s v="Arjun Mehta"/>
    <s v="Net Banking"/>
    <n v="3"/>
    <n v="48.86"/>
    <n v="176000"/>
    <s v="West"/>
    <x v="2"/>
    <x v="2"/>
  </r>
  <r>
    <s v="ORD1017"/>
    <d v="2024-11-02T00:00:00"/>
    <s v="C001"/>
    <s v="Enterprise CRM Software"/>
    <s v="Software License"/>
    <n v="3"/>
    <n v="228000"/>
    <n v="120000"/>
    <n v="108000"/>
    <n v="20"/>
    <s v="Completed"/>
    <s v="Deepa Iyer"/>
    <s v="Bank Transfer"/>
    <n v="6"/>
    <n v="47.37"/>
    <n v="76000"/>
    <s v="South"/>
    <x v="2"/>
    <x v="2"/>
  </r>
  <r>
    <s v="ORD1018"/>
    <d v="2024-10-17T00:00:00"/>
    <s v="C003"/>
    <s v="Annual AMC Contract"/>
    <s v="IT Support"/>
    <n v="1"/>
    <n v="33600"/>
    <n v="18000"/>
    <n v="15600"/>
    <n v="20"/>
    <s v="In Progress"/>
    <s v="Amit Verma"/>
    <s v="Credit Card"/>
    <n v="24"/>
    <n v="46.43"/>
    <n v="33600"/>
    <s v="South"/>
    <x v="1"/>
    <x v="1"/>
  </r>
  <r>
    <s v="ORD1019"/>
    <d v="2024-12-03T00:00:00"/>
    <s v="C028"/>
    <s v="API Integration Service"/>
    <s v="Development"/>
    <n v="4"/>
    <n v="352000"/>
    <n v="152000"/>
    <n v="200000"/>
    <n v="0"/>
    <s v="In Progress"/>
    <s v="Deepa Iyer"/>
    <s v="Cheque"/>
    <n v="24"/>
    <n v="56.82"/>
    <n v="88000"/>
    <s v="South"/>
    <x v="0"/>
    <x v="0"/>
  </r>
  <r>
    <s v="ORD1020"/>
    <d v="2024-12-09T00:00:00"/>
    <s v="C015"/>
    <s v="Network Setup &amp; Config"/>
    <s v="IT Support"/>
    <n v="4"/>
    <n v="208000"/>
    <n v="88000"/>
    <n v="120000"/>
    <n v="0"/>
    <s v="Completed"/>
    <s v="Deepa Iyer"/>
    <s v="Bank Transfer"/>
    <n v="12"/>
    <n v="57.69"/>
    <n v="52000"/>
    <s v="West"/>
    <x v="0"/>
    <x v="0"/>
  </r>
  <r>
    <s v="ORD1021"/>
    <d v="2024-01-11T00:00:00"/>
    <s v="C008"/>
    <s v="Web Portal Development"/>
    <s v="Development"/>
    <n v="2"/>
    <n v="290000"/>
    <n v="120000"/>
    <n v="170000"/>
    <n v="0"/>
    <s v="Completed"/>
    <s v="Rohit Sharma"/>
    <s v="Credit Card"/>
    <n v="3"/>
    <n v="58.62"/>
    <n v="145000"/>
    <s v="North"/>
    <x v="8"/>
    <x v="8"/>
  </r>
  <r>
    <s v="ORD1022"/>
    <d v="2024-01-17T00:00:00"/>
    <s v="C003"/>
    <s v="Network Setup &amp; Config"/>
    <s v="IT Support"/>
    <n v="2"/>
    <n v="98800"/>
    <n v="44000"/>
    <n v="54800"/>
    <n v="5"/>
    <s v="Cancelled"/>
    <s v="Sunita Pillai"/>
    <s v="Credit Card"/>
    <n v="6"/>
    <n v="55.47"/>
    <n v="49400"/>
    <s v="South"/>
    <x v="8"/>
    <x v="8"/>
  </r>
  <r>
    <s v="ORD1023"/>
    <d v="2024-10-19T00:00:00"/>
    <s v="C008"/>
    <s v="Annual AMC Contract"/>
    <s v="IT Support"/>
    <n v="4"/>
    <n v="168000"/>
    <n v="72000"/>
    <n v="96000"/>
    <n v="0"/>
    <s v="Completed"/>
    <s v="Priya Nair"/>
    <s v="UPI"/>
    <n v="12"/>
    <n v="57.14"/>
    <n v="42000"/>
    <s v="North"/>
    <x v="1"/>
    <x v="1"/>
  </r>
  <r>
    <s v="ORD1024"/>
    <d v="2024-08-04T00:00:00"/>
    <s v="C028"/>
    <s v="Cloud Migration Service"/>
    <s v="Cloud Services"/>
    <n v="1"/>
    <n v="140000"/>
    <n v="60000"/>
    <n v="80000"/>
    <n v="0"/>
    <s v="Completed"/>
    <s v="Kavita Joshi"/>
    <s v="Bank Transfer"/>
    <n v="6"/>
    <n v="57.14"/>
    <n v="140000"/>
    <s v="South"/>
    <x v="9"/>
    <x v="9"/>
  </r>
  <r>
    <s v="ORD1025"/>
    <d v="2024-11-23T00:00:00"/>
    <s v="C005"/>
    <s v="RPA Implementation"/>
    <s v="AI &amp; Automation"/>
    <n v="2"/>
    <n v="304000"/>
    <n v="140000"/>
    <n v="164000"/>
    <n v="5"/>
    <s v="Completed"/>
    <s v="Deepa Iyer"/>
    <s v="Bank Transfer"/>
    <n v="24"/>
    <n v="53.95"/>
    <n v="152000"/>
    <s v="West"/>
    <x v="2"/>
    <x v="2"/>
  </r>
  <r>
    <s v="ORD1026"/>
    <d v="2024-12-19T00:00:00"/>
    <s v="C018"/>
    <s v="Cloud Infrastructure Setup"/>
    <s v="Cloud Services"/>
    <n v="1"/>
    <n v="144000"/>
    <n v="80000"/>
    <n v="64000"/>
    <n v="20"/>
    <s v="Completed"/>
    <s v="Amit Verma"/>
    <s v="UPI"/>
    <n v="24"/>
    <n v="44.44"/>
    <n v="144000"/>
    <s v="South"/>
    <x v="0"/>
    <x v="0"/>
  </r>
  <r>
    <s v="ORD1027"/>
    <d v="2024-11-17T00:00:00"/>
    <s v="C029"/>
    <s v="Cloud Migration Service"/>
    <s v="Cloud Services"/>
    <n v="2"/>
    <n v="266000"/>
    <n v="120000"/>
    <n v="146000"/>
    <n v="5"/>
    <s v="Completed"/>
    <s v="Nikhil Gupta"/>
    <s v="Cheque"/>
    <n v="24"/>
    <n v="54.89"/>
    <n v="133000"/>
    <s v="South"/>
    <x v="2"/>
    <x v="2"/>
  </r>
  <r>
    <s v="ORD1028"/>
    <d v="2024-05-26T00:00:00"/>
    <s v="C024"/>
    <s v="Mobile App Development"/>
    <s v="Development"/>
    <n v="4"/>
    <n v="800000"/>
    <n v="340000"/>
    <n v="460000"/>
    <n v="0"/>
    <s v="Completed"/>
    <s v="Sandeep Rao"/>
    <s v="Credit Card"/>
    <n v="3"/>
    <n v="57.5"/>
    <n v="200000"/>
    <s v="North"/>
    <x v="3"/>
    <x v="3"/>
  </r>
  <r>
    <s v="ORD1029"/>
    <d v="2024-10-23T00:00:00"/>
    <s v="C002"/>
    <s v="Business Intelligence Report"/>
    <s v="Analytics"/>
    <n v="1"/>
    <n v="65000"/>
    <n v="28000"/>
    <n v="37000"/>
    <n v="0"/>
    <s v="In Progress"/>
    <s v="Sunita Pillai"/>
    <s v="Net Banking"/>
    <n v="6"/>
    <n v="56.92"/>
    <n v="65000"/>
    <s v="West"/>
    <x v="1"/>
    <x v="1"/>
  </r>
  <r>
    <s v="ORD1030"/>
    <d v="2024-01-30T00:00:00"/>
    <s v="C003"/>
    <s v="HR Management System"/>
    <s v="Software License"/>
    <n v="1"/>
    <n v="72000"/>
    <n v="35000"/>
    <n v="37000"/>
    <n v="10"/>
    <s v="Completed"/>
    <s v="Deepa Iyer"/>
    <s v="UPI"/>
    <n v="3"/>
    <n v="51.39"/>
    <n v="72000"/>
    <s v="South"/>
    <x v="8"/>
    <x v="8"/>
  </r>
  <r>
    <s v="ORD1031"/>
    <d v="2024-12-12T00:00:00"/>
    <s v="C002"/>
    <s v="API Integration Service"/>
    <s v="Development"/>
    <n v="1"/>
    <n v="83600"/>
    <n v="38000"/>
    <n v="45600"/>
    <n v="5"/>
    <s v="Cancelled"/>
    <s v="Pooja Singh"/>
    <s v="Net Banking"/>
    <n v="12"/>
    <n v="54.55"/>
    <n v="83600"/>
    <s v="West"/>
    <x v="0"/>
    <x v="0"/>
  </r>
  <r>
    <s v="ORD1032"/>
    <d v="2024-12-27T00:00:00"/>
    <s v="C011"/>
    <s v="Penetration Testing"/>
    <s v="Security Services"/>
    <n v="3"/>
    <n v="199500"/>
    <n v="90000"/>
    <n v="109500"/>
    <n v="5"/>
    <s v="Completed"/>
    <s v="Sandeep Rao"/>
    <s v="UPI"/>
    <n v="12"/>
    <n v="54.89"/>
    <n v="66500"/>
    <s v="South"/>
    <x v="0"/>
    <x v="0"/>
  </r>
  <r>
    <s v="ORD1033"/>
    <d v="2024-12-15T00:00:00"/>
    <s v="C019"/>
    <s v="Enterprise CRM Software"/>
    <s v="Software License"/>
    <n v="1"/>
    <n v="85500"/>
    <n v="40000"/>
    <n v="45500"/>
    <n v="10"/>
    <s v="Completed"/>
    <s v="Arjun Mehta"/>
    <s v="Cheque"/>
    <n v="6"/>
    <n v="53.22"/>
    <n v="85500"/>
    <s v="North"/>
    <x v="0"/>
    <x v="0"/>
  </r>
  <r>
    <s v="ORD1034"/>
    <d v="2024-06-27T00:00:00"/>
    <s v="C029"/>
    <s v="Penetration Testing"/>
    <s v="Security Services"/>
    <n v="3"/>
    <n v="199500"/>
    <n v="90000"/>
    <n v="109500"/>
    <n v="5"/>
    <s v="Completed"/>
    <s v="Sunita Pillai"/>
    <s v="Net Banking"/>
    <n v="12"/>
    <n v="54.89"/>
    <n v="66500"/>
    <s v="South"/>
    <x v="6"/>
    <x v="6"/>
  </r>
  <r>
    <s v="ORD1035"/>
    <d v="2024-11-09T00:00:00"/>
    <s v="C026"/>
    <s v="Network Setup &amp; Config"/>
    <s v="IT Support"/>
    <n v="1"/>
    <n v="44200"/>
    <n v="22000"/>
    <n v="22200"/>
    <n v="15"/>
    <s v="In Progress"/>
    <s v="Sandeep Rao"/>
    <s v="Bank Transfer"/>
    <n v="6"/>
    <n v="50.23"/>
    <n v="44200"/>
    <s v="North"/>
    <x v="2"/>
    <x v="2"/>
  </r>
  <r>
    <s v="ORD1036"/>
    <d v="2024-10-10T00:00:00"/>
    <s v="C024"/>
    <s v="Mobile App Development"/>
    <s v="Development"/>
    <n v="2"/>
    <n v="380000"/>
    <n v="170000"/>
    <n v="210000"/>
    <n v="5"/>
    <s v="Completed"/>
    <s v="Pooja Singh"/>
    <s v="Credit Card"/>
    <n v="12"/>
    <n v="55.26"/>
    <n v="190000"/>
    <s v="North"/>
    <x v="1"/>
    <x v="1"/>
  </r>
  <r>
    <s v="ORD1037"/>
    <d v="2024-04-14T00:00:00"/>
    <s v="C028"/>
    <s v="Firewall &amp; Network Security"/>
    <s v="Security Services"/>
    <n v="5"/>
    <n v="237500"/>
    <n v="100000"/>
    <n v="137500"/>
    <n v="5"/>
    <s v="Completed"/>
    <s v="Rohit Sharma"/>
    <s v="Bank Transfer"/>
    <n v="24"/>
    <n v="57.89"/>
    <n v="47500"/>
    <s v="South"/>
    <x v="10"/>
    <x v="10"/>
  </r>
  <r>
    <s v="ORD1038"/>
    <d v="2024-11-08T00:00:00"/>
    <s v="C025"/>
    <s v="ERP Implementation"/>
    <s v="Software License"/>
    <n v="3"/>
    <n v="660000"/>
    <n v="270000"/>
    <n v="390000"/>
    <n v="0"/>
    <s v="Cancelled"/>
    <s v="Sunita Pillai"/>
    <s v="Net Banking"/>
    <n v="24"/>
    <n v="59.09"/>
    <n v="220000"/>
    <s v="North"/>
    <x v="2"/>
    <x v="2"/>
  </r>
  <r>
    <s v="ORD1039"/>
    <d v="2024-10-06T00:00:00"/>
    <s v="C029"/>
    <s v="ERP Implementation"/>
    <s v="Software License"/>
    <n v="5"/>
    <n v="1100000"/>
    <n v="450000"/>
    <n v="650000"/>
    <n v="0"/>
    <s v="Completed"/>
    <s v="Pooja Singh"/>
    <s v="Net Banking"/>
    <n v="6"/>
    <n v="59.09"/>
    <n v="220000"/>
    <s v="South"/>
    <x v="1"/>
    <x v="1"/>
  </r>
  <r>
    <s v="ORD1040"/>
    <d v="2024-11-05T00:00:00"/>
    <s v="C012"/>
    <s v="Cloud Migration Service"/>
    <s v="Cloud Services"/>
    <n v="3"/>
    <n v="420000"/>
    <n v="180000"/>
    <n v="240000"/>
    <n v="0"/>
    <s v="Cancelled"/>
    <s v="Deepa Iyer"/>
    <s v="Bank Transfer"/>
    <n v="12"/>
    <n v="57.14"/>
    <n v="140000"/>
    <s v="North"/>
    <x v="2"/>
    <x v="2"/>
  </r>
  <r>
    <s v="ORD1041"/>
    <d v="2024-10-13T00:00:00"/>
    <s v="C014"/>
    <s v="API Integration Service"/>
    <s v="Development"/>
    <n v="2"/>
    <n v="176000"/>
    <n v="76000"/>
    <n v="100000"/>
    <n v="0"/>
    <s v="Completed"/>
    <s v="Amit Verma"/>
    <s v="UPI"/>
    <n v="3"/>
    <n v="56.82"/>
    <n v="88000"/>
    <s v="South"/>
    <x v="1"/>
    <x v="1"/>
  </r>
  <r>
    <s v="ORD1042"/>
    <d v="2024-04-01T00:00:00"/>
    <s v="C011"/>
    <s v="RPA Implementation"/>
    <s v="AI &amp; Automation"/>
    <n v="2"/>
    <n v="304000"/>
    <n v="140000"/>
    <n v="164000"/>
    <n v="5"/>
    <s v="Completed"/>
    <s v="Priya Nair"/>
    <s v="UPI"/>
    <n v="3"/>
    <n v="53.95"/>
    <n v="152000"/>
    <s v="South"/>
    <x v="10"/>
    <x v="10"/>
  </r>
  <r>
    <s v="ORD1043"/>
    <d v="2024-11-24T00:00:00"/>
    <s v="C012"/>
    <s v="Data Analytics Dashboard"/>
    <s v="Analytics"/>
    <n v="2"/>
    <n v="200000"/>
    <n v="90000"/>
    <n v="110000"/>
    <n v="0"/>
    <s v="Completed"/>
    <s v="Deepa Iyer"/>
    <s v="UPI"/>
    <n v="12"/>
    <n v="55"/>
    <n v="100000"/>
    <s v="North"/>
    <x v="2"/>
    <x v="2"/>
  </r>
  <r>
    <s v="ORD1044"/>
    <d v="2024-05-22T00:00:00"/>
    <s v="C025"/>
    <s v="Firewall &amp; Network Security"/>
    <s v="Security Services"/>
    <n v="3"/>
    <n v="127500"/>
    <n v="60000"/>
    <n v="67500"/>
    <n v="15"/>
    <s v="In Progress"/>
    <s v="Nikhil Gupta"/>
    <s v="Net Banking"/>
    <n v="12"/>
    <n v="52.94"/>
    <n v="42500"/>
    <s v="North"/>
    <x v="3"/>
    <x v="3"/>
  </r>
  <r>
    <s v="ORD1045"/>
    <d v="2024-10-30T00:00:00"/>
    <s v="C006"/>
    <s v="Web Portal Development"/>
    <s v="Development"/>
    <n v="3"/>
    <n v="435000"/>
    <n v="180000"/>
    <n v="255000"/>
    <n v="0"/>
    <s v="Completed"/>
    <s v="Pooja Singh"/>
    <s v="UPI"/>
    <n v="12"/>
    <n v="58.62"/>
    <n v="145000"/>
    <s v="West"/>
    <x v="1"/>
    <x v="1"/>
  </r>
  <r>
    <s v="ORD1046"/>
    <d v="2024-06-09T00:00:00"/>
    <s v="C017"/>
    <s v="Enterprise CRM Software"/>
    <s v="Software License"/>
    <n v="4"/>
    <n v="342000"/>
    <n v="160000"/>
    <n v="182000"/>
    <n v="10"/>
    <s v="Completed"/>
    <s v="Sandeep Rao"/>
    <s v="Bank Transfer"/>
    <n v="24"/>
    <n v="53.22"/>
    <n v="85500"/>
    <s v="South"/>
    <x v="6"/>
    <x v="6"/>
  </r>
  <r>
    <s v="ORD1047"/>
    <d v="2024-01-01T00:00:00"/>
    <s v="C026"/>
    <s v="Mobile App Development"/>
    <s v="Development"/>
    <n v="2"/>
    <n v="380000"/>
    <n v="170000"/>
    <n v="210000"/>
    <n v="5"/>
    <s v="Completed"/>
    <s v="Priya Nair"/>
    <s v="Cheque"/>
    <n v="12"/>
    <n v="55.26"/>
    <n v="190000"/>
    <s v="North"/>
    <x v="8"/>
    <x v="8"/>
  </r>
  <r>
    <s v="ORD1048"/>
    <d v="2024-12-05T00:00:00"/>
    <s v="C024"/>
    <s v="Data Analytics Dashboard"/>
    <s v="Analytics"/>
    <n v="5"/>
    <n v="475000"/>
    <n v="225000"/>
    <n v="250000"/>
    <n v="5"/>
    <s v="Cancelled"/>
    <s v="Nikhil Gupta"/>
    <s v="Cheque"/>
    <n v="24"/>
    <n v="52.63"/>
    <n v="95000"/>
    <s v="North"/>
    <x v="0"/>
    <x v="0"/>
  </r>
  <r>
    <s v="ORD1049"/>
    <d v="2024-10-13T00:00:00"/>
    <s v="C007"/>
    <s v="RPA Implementation"/>
    <s v="AI &amp; Automation"/>
    <n v="4"/>
    <n v="544000"/>
    <n v="280000"/>
    <n v="264000"/>
    <n v="15"/>
    <s v="Cancelled"/>
    <s v="Amit Verma"/>
    <s v="Net Banking"/>
    <n v="12"/>
    <n v="48.53"/>
    <n v="136000"/>
    <s v="West"/>
    <x v="1"/>
    <x v="1"/>
  </r>
  <r>
    <s v="ORD1050"/>
    <d v="2024-07-26T00:00:00"/>
    <s v="C001"/>
    <s v="Data Analytics Dashboard"/>
    <s v="Analytics"/>
    <n v="3"/>
    <n v="300000"/>
    <n v="135000"/>
    <n v="165000"/>
    <n v="0"/>
    <s v="Completed"/>
    <s v="Pooja Singh"/>
    <s v="Net Banking"/>
    <n v="12"/>
    <n v="55"/>
    <n v="100000"/>
    <s v="South"/>
    <x v="4"/>
    <x v="4"/>
  </r>
  <r>
    <s v="ORD1051"/>
    <d v="2024-08-26T00:00:00"/>
    <s v="C022"/>
    <s v="Cybersecurity Audit"/>
    <s v="Security Services"/>
    <n v="5"/>
    <n v="285000"/>
    <n v="125000"/>
    <n v="160000"/>
    <n v="5"/>
    <s v="Cancelled"/>
    <s v="Amit Verma"/>
    <s v="Bank Transfer"/>
    <n v="12"/>
    <n v="56.14"/>
    <n v="57000"/>
    <s v="South"/>
    <x v="9"/>
    <x v="9"/>
  </r>
  <r>
    <s v="ORD1052"/>
    <d v="2024-09-20T00:00:00"/>
    <s v="C020"/>
    <s v="Business Intelligence Report"/>
    <s v="Analytics"/>
    <n v="1"/>
    <n v="52000"/>
    <n v="28000"/>
    <n v="24000"/>
    <n v="20"/>
    <s v="Completed"/>
    <s v="Sandeep Rao"/>
    <s v="Credit Card"/>
    <n v="6"/>
    <n v="46.15"/>
    <n v="52000"/>
    <s v="North"/>
    <x v="7"/>
    <x v="7"/>
  </r>
  <r>
    <s v="ORD1053"/>
    <d v="2024-10-28T00:00:00"/>
    <s v="C016"/>
    <s v="API Integration Service"/>
    <s v="Development"/>
    <n v="1"/>
    <n v="83600"/>
    <n v="38000"/>
    <n v="45600"/>
    <n v="5"/>
    <s v="Completed"/>
    <s v="Pooja Singh"/>
    <s v="Credit Card"/>
    <n v="24"/>
    <n v="54.55"/>
    <n v="83600"/>
    <s v="South"/>
    <x v="1"/>
    <x v="1"/>
  </r>
  <r>
    <s v="ORD1054"/>
    <d v="2024-09-10T00:00:00"/>
    <s v="C005"/>
    <s v="Cloud Infrastructure Setup"/>
    <s v="Cloud Services"/>
    <n v="1"/>
    <n v="144000"/>
    <n v="80000"/>
    <n v="64000"/>
    <n v="20"/>
    <s v="Completed"/>
    <s v="Deepa Iyer"/>
    <s v="Credit Card"/>
    <n v="24"/>
    <n v="44.44"/>
    <n v="144000"/>
    <s v="West"/>
    <x v="7"/>
    <x v="7"/>
  </r>
  <r>
    <s v="ORD1055"/>
    <d v="2024-01-26T00:00:00"/>
    <s v="C030"/>
    <s v="Enterprise CRM Software"/>
    <s v="Software License"/>
    <n v="4"/>
    <n v="380000"/>
    <n v="160000"/>
    <n v="220000"/>
    <n v="0"/>
    <s v="Completed"/>
    <s v="Arjun Mehta"/>
    <s v="Net Banking"/>
    <n v="12"/>
    <n v="57.89"/>
    <n v="95000"/>
    <s v="North"/>
    <x v="8"/>
    <x v="8"/>
  </r>
  <r>
    <s v="ORD1056"/>
    <d v="2024-08-14T00:00:00"/>
    <s v="C024"/>
    <s v="Network Setup &amp; Config"/>
    <s v="IT Support"/>
    <n v="4"/>
    <n v="166400"/>
    <n v="88000"/>
    <n v="78400"/>
    <n v="20"/>
    <s v="In Progress"/>
    <s v="Sunita Pillai"/>
    <s v="Credit Card"/>
    <n v="24"/>
    <n v="47.12"/>
    <n v="41600"/>
    <s v="North"/>
    <x v="9"/>
    <x v="9"/>
  </r>
  <r>
    <s v="ORD1057"/>
    <d v="2024-10-28T00:00:00"/>
    <s v="C027"/>
    <s v="Firewall &amp; Network Security"/>
    <s v="Security Services"/>
    <n v="5"/>
    <n v="237500"/>
    <n v="100000"/>
    <n v="137500"/>
    <n v="5"/>
    <s v="Cancelled"/>
    <s v="Deepa Iyer"/>
    <s v="Cheque"/>
    <n v="24"/>
    <n v="57.89"/>
    <n v="47500"/>
    <s v="North"/>
    <x v="1"/>
    <x v="1"/>
  </r>
  <r>
    <s v="ORD1058"/>
    <d v="2024-02-09T00:00:00"/>
    <s v="C008"/>
    <s v="Firewall &amp; Network Security"/>
    <s v="Security Services"/>
    <n v="3"/>
    <n v="142500"/>
    <n v="60000"/>
    <n v="82500"/>
    <n v="5"/>
    <s v="In Progress"/>
    <s v="Priya Nair"/>
    <s v="Credit Card"/>
    <n v="6"/>
    <n v="57.89"/>
    <n v="47500"/>
    <s v="North"/>
    <x v="11"/>
    <x v="11"/>
  </r>
  <r>
    <s v="ORD1059"/>
    <d v="2024-04-28T00:00:00"/>
    <s v="C005"/>
    <s v="Cybersecurity Audit"/>
    <s v="Security Services"/>
    <n v="1"/>
    <n v="57000"/>
    <n v="25000"/>
    <n v="32000"/>
    <n v="5"/>
    <s v="Completed"/>
    <s v="Kavita Joshi"/>
    <s v="Net Banking"/>
    <n v="24"/>
    <n v="56.14"/>
    <n v="57000"/>
    <s v="West"/>
    <x v="10"/>
    <x v="10"/>
  </r>
  <r>
    <s v="ORD1060"/>
    <d v="2024-11-19T00:00:00"/>
    <s v="C013"/>
    <s v="Web Portal Development"/>
    <s v="Development"/>
    <n v="1"/>
    <n v="116000"/>
    <n v="60000"/>
    <n v="56000"/>
    <n v="20"/>
    <s v="In Progress"/>
    <s v="Nikhil Gupta"/>
    <s v="UPI"/>
    <n v="3"/>
    <n v="48.28"/>
    <n v="116000"/>
    <s v="North"/>
    <x v="2"/>
    <x v="2"/>
  </r>
  <r>
    <s v="ORD1061"/>
    <d v="2024-11-15T00:00:00"/>
    <s v="C028"/>
    <s v="RPA Implementation"/>
    <s v="AI &amp; Automation"/>
    <n v="5"/>
    <n v="680000"/>
    <n v="350000"/>
    <n v="330000"/>
    <n v="15"/>
    <s v="Cancelled"/>
    <s v="Arjun Mehta"/>
    <s v="Net Banking"/>
    <n v="6"/>
    <n v="48.53"/>
    <n v="136000"/>
    <s v="South"/>
    <x v="2"/>
    <x v="2"/>
  </r>
  <r>
    <s v="ORD1062"/>
    <d v="2024-11-21T00:00:00"/>
    <s v="C016"/>
    <s v="Cloud Infrastructure Setup"/>
    <s v="Cloud Services"/>
    <n v="4"/>
    <n v="684000"/>
    <n v="320000"/>
    <n v="364000"/>
    <n v="5"/>
    <s v="Cancelled"/>
    <s v="Nikhil Gupta"/>
    <s v="Credit Card"/>
    <n v="24"/>
    <n v="53.22"/>
    <n v="171000"/>
    <s v="South"/>
    <x v="2"/>
    <x v="2"/>
  </r>
  <r>
    <s v="ORD1063"/>
    <d v="2024-03-06T00:00:00"/>
    <s v="C018"/>
    <s v="Cloud Infrastructure Setup"/>
    <s v="Cloud Services"/>
    <n v="4"/>
    <n v="648000"/>
    <n v="320000"/>
    <n v="328000"/>
    <n v="10"/>
    <s v="In Progress"/>
    <s v="Rohit Sharma"/>
    <s v="Bank Transfer"/>
    <n v="24"/>
    <n v="50.62"/>
    <n v="162000"/>
    <s v="South"/>
    <x v="5"/>
    <x v="5"/>
  </r>
  <r>
    <s v="ORD1064"/>
    <d v="2024-03-10T00:00:00"/>
    <s v="C006"/>
    <s v="Cloud Migration Service"/>
    <s v="Cloud Services"/>
    <n v="3"/>
    <n v="399000"/>
    <n v="180000"/>
    <n v="219000"/>
    <n v="5"/>
    <s v="Completed"/>
    <s v="Deepa Iyer"/>
    <s v="UPI"/>
    <n v="12"/>
    <n v="54.89"/>
    <n v="133000"/>
    <s v="West"/>
    <x v="5"/>
    <x v="5"/>
  </r>
  <r>
    <s v="ORD1065"/>
    <d v="2024-06-21T00:00:00"/>
    <s v="C013"/>
    <s v="Firewall &amp; Network Security"/>
    <s v="Security Services"/>
    <n v="4"/>
    <n v="190000"/>
    <n v="80000"/>
    <n v="110000"/>
    <n v="5"/>
    <s v="Completed"/>
    <s v="Sunita Pillai"/>
    <s v="Bank Transfer"/>
    <n v="3"/>
    <n v="57.89"/>
    <n v="47500"/>
    <s v="North"/>
    <x v="6"/>
    <x v="6"/>
  </r>
  <r>
    <s v="ORD1066"/>
    <d v="2024-10-05T00:00:00"/>
    <s v="C025"/>
    <s v="Cloud Migration Service"/>
    <s v="Cloud Services"/>
    <n v="1"/>
    <n v="140000"/>
    <n v="60000"/>
    <n v="80000"/>
    <n v="0"/>
    <s v="Completed"/>
    <s v="Rohit Sharma"/>
    <s v="Net Banking"/>
    <n v="6"/>
    <n v="57.14"/>
    <n v="140000"/>
    <s v="North"/>
    <x v="1"/>
    <x v="1"/>
  </r>
  <r>
    <s v="ORD1067"/>
    <d v="2024-12-21T00:00:00"/>
    <s v="C004"/>
    <s v="Web Portal Development"/>
    <s v="Development"/>
    <n v="2"/>
    <n v="275500"/>
    <n v="120000"/>
    <n v="155500"/>
    <n v="5"/>
    <s v="Cancelled"/>
    <s v="Sandeep Rao"/>
    <s v="Cheque"/>
    <n v="6"/>
    <n v="56.44"/>
    <n v="137750"/>
    <s v="North"/>
    <x v="0"/>
    <x v="0"/>
  </r>
  <r>
    <s v="ORD1068"/>
    <d v="2024-11-06T00:00:00"/>
    <s v="C024"/>
    <s v="Enterprise CRM Software"/>
    <s v="Software License"/>
    <n v="2"/>
    <n v="180500"/>
    <n v="80000"/>
    <n v="100500"/>
    <n v="5"/>
    <s v="Completed"/>
    <s v="Pooja Singh"/>
    <s v="Bank Transfer"/>
    <n v="12"/>
    <n v="55.68"/>
    <n v="90250"/>
    <s v="North"/>
    <x v="2"/>
    <x v="2"/>
  </r>
  <r>
    <s v="ORD1069"/>
    <d v="2024-10-21T00:00:00"/>
    <s v="C013"/>
    <s v="Chatbot Development"/>
    <s v="AI &amp; Automation"/>
    <n v="2"/>
    <n v="260000"/>
    <n v="110000"/>
    <n v="150000"/>
    <n v="0"/>
    <s v="In Progress"/>
    <s v="Deepa Iyer"/>
    <s v="Bank Transfer"/>
    <n v="12"/>
    <n v="57.69"/>
    <n v="130000"/>
    <s v="North"/>
    <x v="1"/>
    <x v="1"/>
  </r>
  <r>
    <s v="ORD1070"/>
    <d v="2024-12-16T00:00:00"/>
    <s v="C004"/>
    <s v="Web Portal Development"/>
    <s v="Development"/>
    <n v="1"/>
    <n v="137750"/>
    <n v="60000"/>
    <n v="77750"/>
    <n v="5"/>
    <s v="In Progress"/>
    <s v="Nikhil Gupta"/>
    <s v="Cheque"/>
    <n v="3"/>
    <n v="56.44"/>
    <n v="137750"/>
    <s v="North"/>
    <x v="0"/>
    <x v="0"/>
  </r>
  <r>
    <s v="ORD1071"/>
    <d v="2024-09-16T00:00:00"/>
    <s v="C001"/>
    <s v="RPA Implementation"/>
    <s v="AI &amp; Automation"/>
    <n v="4"/>
    <n v="640000"/>
    <n v="280000"/>
    <n v="360000"/>
    <n v="0"/>
    <s v="Completed"/>
    <s v="Kavita Joshi"/>
    <s v="UPI"/>
    <n v="6"/>
    <n v="56.25"/>
    <n v="160000"/>
    <s v="South"/>
    <x v="7"/>
    <x v="7"/>
  </r>
  <r>
    <s v="ORD1072"/>
    <d v="2024-12-02T00:00:00"/>
    <s v="C021"/>
    <s v="Firewall &amp; Network Security"/>
    <s v="Security Services"/>
    <n v="5"/>
    <n v="200000"/>
    <n v="100000"/>
    <n v="100000"/>
    <n v="20"/>
    <s v="In Progress"/>
    <s v="Sunita Pillai"/>
    <s v="UPI"/>
    <n v="24"/>
    <n v="50"/>
    <n v="40000"/>
    <s v="West"/>
    <x v="0"/>
    <x v="0"/>
  </r>
  <r>
    <s v="ORD1073"/>
    <d v="2024-10-28T00:00:00"/>
    <s v="C027"/>
    <s v="AWS Management Package"/>
    <s v="Cloud Services"/>
    <n v="3"/>
    <n v="342000"/>
    <n v="150000"/>
    <n v="192000"/>
    <n v="5"/>
    <s v="Completed"/>
    <s v="Sunita Pillai"/>
    <s v="Net Banking"/>
    <n v="24"/>
    <n v="56.14"/>
    <n v="114000"/>
    <s v="North"/>
    <x v="1"/>
    <x v="1"/>
  </r>
  <r>
    <s v="ORD1074"/>
    <d v="2024-11-07T00:00:00"/>
    <s v="C006"/>
    <s v="Annual AMC Contract"/>
    <s v="IT Support"/>
    <n v="2"/>
    <n v="79800"/>
    <n v="36000"/>
    <n v="43800"/>
    <n v="5"/>
    <s v="Completed"/>
    <s v="Kavita Joshi"/>
    <s v="Cheque"/>
    <n v="12"/>
    <n v="54.89"/>
    <n v="39900"/>
    <s v="West"/>
    <x v="2"/>
    <x v="2"/>
  </r>
  <r>
    <s v="ORD1075"/>
    <d v="2024-10-21T00:00:00"/>
    <s v="C003"/>
    <s v="Penetration Testing"/>
    <s v="Security Services"/>
    <n v="4"/>
    <n v="266000"/>
    <n v="120000"/>
    <n v="146000"/>
    <n v="5"/>
    <s v="In Progress"/>
    <s v="Deepa Iyer"/>
    <s v="UPI"/>
    <n v="24"/>
    <n v="54.89"/>
    <n v="66500"/>
    <s v="South"/>
    <x v="1"/>
    <x v="1"/>
  </r>
  <r>
    <s v="ORD1076"/>
    <d v="2024-08-17T00:00:00"/>
    <s v="C003"/>
    <s v="Data Analytics Dashboard"/>
    <s v="Analytics"/>
    <n v="2"/>
    <n v="190000"/>
    <n v="90000"/>
    <n v="100000"/>
    <n v="5"/>
    <s v="Cancelled"/>
    <s v="Deepa Iyer"/>
    <s v="Cheque"/>
    <n v="12"/>
    <n v="52.63"/>
    <n v="95000"/>
    <s v="South"/>
    <x v="9"/>
    <x v="9"/>
  </r>
  <r>
    <s v="ORD1077"/>
    <d v="2024-08-30T00:00:00"/>
    <s v="C012"/>
    <s v="RPA Implementation"/>
    <s v="AI &amp; Automation"/>
    <n v="5"/>
    <n v="760000"/>
    <n v="350000"/>
    <n v="410000"/>
    <n v="5"/>
    <s v="Completed"/>
    <s v="Sunita Pillai"/>
    <s v="Cheque"/>
    <n v="12"/>
    <n v="53.95"/>
    <n v="152000"/>
    <s v="North"/>
    <x v="9"/>
    <x v="9"/>
  </r>
  <r>
    <s v="ORD1078"/>
    <d v="2024-12-28T00:00:00"/>
    <s v="C007"/>
    <s v="Business Intelligence Report"/>
    <s v="Analytics"/>
    <n v="1"/>
    <n v="55250"/>
    <n v="28000"/>
    <n v="27250"/>
    <n v="15"/>
    <s v="In Progress"/>
    <s v="Amit Verma"/>
    <s v="Credit Card"/>
    <n v="6"/>
    <n v="49.32"/>
    <n v="55250"/>
    <s v="West"/>
    <x v="0"/>
    <x v="0"/>
  </r>
  <r>
    <s v="ORD1079"/>
    <d v="2024-12-11T00:00:00"/>
    <s v="C025"/>
    <s v="Network Setup &amp; Config"/>
    <s v="IT Support"/>
    <n v="5"/>
    <n v="247000"/>
    <n v="110000"/>
    <n v="137000"/>
    <n v="5"/>
    <s v="Completed"/>
    <s v="Deepa Iyer"/>
    <s v="Cheque"/>
    <n v="6"/>
    <n v="55.47"/>
    <n v="49400"/>
    <s v="North"/>
    <x v="0"/>
    <x v="0"/>
  </r>
  <r>
    <s v="ORD1080"/>
    <d v="2024-09-28T00:00:00"/>
    <s v="C023"/>
    <s v="Mobile App Development"/>
    <s v="Development"/>
    <n v="2"/>
    <n v="380000"/>
    <n v="170000"/>
    <n v="210000"/>
    <n v="5"/>
    <s v="Completed"/>
    <s v="Rohit Sharma"/>
    <s v="Net Banking"/>
    <n v="12"/>
    <n v="55.26"/>
    <n v="190000"/>
    <s v="South"/>
    <x v="7"/>
    <x v="7"/>
  </r>
  <r>
    <s v="ORD1081"/>
    <d v="2024-12-23T00:00:00"/>
    <s v="C021"/>
    <s v="Annual AMC Contract"/>
    <s v="IT Support"/>
    <n v="1"/>
    <n v="33600"/>
    <n v="18000"/>
    <n v="15600"/>
    <n v="20"/>
    <s v="Completed"/>
    <s v="Pooja Singh"/>
    <s v="Cheque"/>
    <n v="24"/>
    <n v="46.43"/>
    <n v="33600"/>
    <s v="West"/>
    <x v="0"/>
    <x v="0"/>
  </r>
  <r>
    <s v="ORD1082"/>
    <d v="2024-09-02T00:00:00"/>
    <s v="C006"/>
    <s v="Cloud Migration Service"/>
    <s v="Cloud Services"/>
    <n v="3"/>
    <n v="336000"/>
    <n v="180000"/>
    <n v="156000"/>
    <n v="20"/>
    <s v="Completed"/>
    <s v="Priya Nair"/>
    <s v="Bank Transfer"/>
    <n v="24"/>
    <n v="46.43"/>
    <n v="112000"/>
    <s v="West"/>
    <x v="7"/>
    <x v="7"/>
  </r>
  <r>
    <s v="ORD1083"/>
    <d v="2024-12-16T00:00:00"/>
    <s v="C022"/>
    <s v="Cloud Migration Service"/>
    <s v="Cloud Services"/>
    <n v="2"/>
    <n v="280000"/>
    <n v="120000"/>
    <n v="160000"/>
    <n v="0"/>
    <s v="In Progress"/>
    <s v="Sandeep Rao"/>
    <s v="Bank Transfer"/>
    <n v="6"/>
    <n v="57.14"/>
    <n v="140000"/>
    <s v="South"/>
    <x v="0"/>
    <x v="0"/>
  </r>
  <r>
    <s v="ORD1084"/>
    <d v="2024-03-01T00:00:00"/>
    <s v="C014"/>
    <s v="API Integration Service"/>
    <s v="Development"/>
    <n v="5"/>
    <n v="352000"/>
    <n v="190000"/>
    <n v="162000"/>
    <n v="20"/>
    <s v="In Progress"/>
    <s v="Deepa Iyer"/>
    <s v="Net Banking"/>
    <n v="24"/>
    <n v="46.02"/>
    <n v="70400"/>
    <s v="South"/>
    <x v="5"/>
    <x v="5"/>
  </r>
  <r>
    <s v="ORD1085"/>
    <d v="2024-08-18T00:00:00"/>
    <s v="C010"/>
    <s v="Web Portal Development"/>
    <s v="Development"/>
    <n v="4"/>
    <n v="551000"/>
    <n v="240000"/>
    <n v="311000"/>
    <n v="5"/>
    <s v="In Progress"/>
    <s v="Pooja Singh"/>
    <s v="Bank Transfer"/>
    <n v="3"/>
    <n v="56.44"/>
    <n v="137750"/>
    <s v="South"/>
    <x v="9"/>
    <x v="9"/>
  </r>
  <r>
    <s v="ORD1086"/>
    <d v="2024-04-16T00:00:00"/>
    <s v="C009"/>
    <s v="AWS Management Package"/>
    <s v="Cloud Services"/>
    <n v="2"/>
    <n v="240000"/>
    <n v="100000"/>
    <n v="140000"/>
    <n v="0"/>
    <s v="Completed"/>
    <s v="Arjun Mehta"/>
    <s v="Bank Transfer"/>
    <n v="6"/>
    <n v="58.33"/>
    <n v="120000"/>
    <s v="South"/>
    <x v="10"/>
    <x v="10"/>
  </r>
  <r>
    <s v="ORD1087"/>
    <d v="2024-01-02T00:00:00"/>
    <s v="C023"/>
    <s v="API Integration Service"/>
    <s v="Development"/>
    <n v="4"/>
    <n v="334400"/>
    <n v="152000"/>
    <n v="182400"/>
    <n v="5"/>
    <s v="Completed"/>
    <s v="Deepa Iyer"/>
    <s v="Cheque"/>
    <n v="12"/>
    <n v="54.55"/>
    <n v="83600"/>
    <s v="South"/>
    <x v="8"/>
    <x v="8"/>
  </r>
  <r>
    <s v="ORD1088"/>
    <d v="2024-12-25T00:00:00"/>
    <s v="C003"/>
    <s v="Penetration Testing"/>
    <s v="Security Services"/>
    <n v="3"/>
    <n v="168000"/>
    <n v="90000"/>
    <n v="78000"/>
    <n v="20"/>
    <s v="Cancelled"/>
    <s v="Pooja Singh"/>
    <s v="Credit Card"/>
    <n v="24"/>
    <n v="46.43"/>
    <n v="56000"/>
    <s v="South"/>
    <x v="0"/>
    <x v="0"/>
  </r>
  <r>
    <s v="ORD1089"/>
    <d v="2024-02-28T00:00:00"/>
    <s v="C021"/>
    <s v="ERP Implementation"/>
    <s v="Software License"/>
    <n v="3"/>
    <n v="528000"/>
    <n v="270000"/>
    <n v="258000"/>
    <n v="20"/>
    <s v="Completed"/>
    <s v="Priya Nair"/>
    <s v="Bank Transfer"/>
    <n v="6"/>
    <n v="48.86"/>
    <n v="176000"/>
    <s v="West"/>
    <x v="11"/>
    <x v="11"/>
  </r>
  <r>
    <s v="ORD1090"/>
    <d v="2024-06-06T00:00:00"/>
    <s v="C027"/>
    <s v="Web Portal Development"/>
    <s v="Development"/>
    <n v="3"/>
    <n v="413250"/>
    <n v="180000"/>
    <n v="233250"/>
    <n v="5"/>
    <s v="Completed"/>
    <s v="Sunita Pillai"/>
    <s v="Cheque"/>
    <n v="24"/>
    <n v="56.44"/>
    <n v="137750"/>
    <s v="North"/>
    <x v="6"/>
    <x v="6"/>
  </r>
  <r>
    <s v="ORD1091"/>
    <d v="2024-05-19T00:00:00"/>
    <s v="C016"/>
    <s v="IT Support &amp; Maintenance"/>
    <s v="IT Support"/>
    <n v="1"/>
    <n v="31500"/>
    <n v="15000"/>
    <n v="16500"/>
    <n v="10"/>
    <s v="Completed"/>
    <s v="Nikhil Gupta"/>
    <s v="Cheque"/>
    <n v="12"/>
    <n v="52.38"/>
    <n v="31500"/>
    <s v="South"/>
    <x v="3"/>
    <x v="3"/>
  </r>
  <r>
    <s v="ORD1092"/>
    <d v="2024-12-22T00:00:00"/>
    <s v="C027"/>
    <s v="Web Portal Development"/>
    <s v="Development"/>
    <n v="5"/>
    <n v="725000"/>
    <n v="300000"/>
    <n v="425000"/>
    <n v="0"/>
    <s v="Cancelled"/>
    <s v="Sandeep Rao"/>
    <s v="Net Banking"/>
    <n v="3"/>
    <n v="58.62"/>
    <n v="145000"/>
    <s v="North"/>
    <x v="0"/>
    <x v="0"/>
  </r>
  <r>
    <s v="ORD1093"/>
    <d v="2024-03-30T00:00:00"/>
    <s v="C021"/>
    <s v="IT Support &amp; Maintenance"/>
    <s v="IT Support"/>
    <n v="3"/>
    <n v="105000"/>
    <n v="45000"/>
    <n v="60000"/>
    <n v="0"/>
    <s v="In Progress"/>
    <s v="Nikhil Gupta"/>
    <s v="UPI"/>
    <n v="3"/>
    <n v="57.14"/>
    <n v="35000"/>
    <s v="West"/>
    <x v="5"/>
    <x v="5"/>
  </r>
  <r>
    <s v="ORD1094"/>
    <d v="2024-08-28T00:00:00"/>
    <s v="C011"/>
    <s v="Business Intelligence Report"/>
    <s v="Analytics"/>
    <n v="1"/>
    <n v="52000"/>
    <n v="28000"/>
    <n v="24000"/>
    <n v="20"/>
    <s v="Completed"/>
    <s v="Kavita Joshi"/>
    <s v="UPI"/>
    <n v="24"/>
    <n v="46.15"/>
    <n v="52000"/>
    <s v="South"/>
    <x v="9"/>
    <x v="9"/>
  </r>
  <r>
    <s v="ORD1095"/>
    <d v="2024-05-27T00:00:00"/>
    <s v="C013"/>
    <s v="Mobile App Development"/>
    <s v="Development"/>
    <n v="1"/>
    <n v="190000"/>
    <n v="85000"/>
    <n v="105000"/>
    <n v="5"/>
    <s v="Completed"/>
    <s v="Kavita Joshi"/>
    <s v="Cheque"/>
    <n v="12"/>
    <n v="55.26"/>
    <n v="190000"/>
    <s v="North"/>
    <x v="3"/>
    <x v="3"/>
  </r>
  <r>
    <s v="ORD1096"/>
    <d v="2024-02-29T00:00:00"/>
    <s v="C013"/>
    <s v="Network Setup &amp; Config"/>
    <s v="IT Support"/>
    <n v="1"/>
    <n v="44200"/>
    <n v="22000"/>
    <n v="22200"/>
    <n v="15"/>
    <s v="In Progress"/>
    <s v="Sunita Pillai"/>
    <s v="UPI"/>
    <n v="3"/>
    <n v="50.23"/>
    <n v="44200"/>
    <s v="North"/>
    <x v="11"/>
    <x v="11"/>
  </r>
  <r>
    <s v="ORD1097"/>
    <d v="2024-04-06T00:00:00"/>
    <s v="C020"/>
    <s v="Annual AMC Contract"/>
    <s v="IT Support"/>
    <n v="4"/>
    <n v="134400"/>
    <n v="72000"/>
    <n v="62400"/>
    <n v="20"/>
    <s v="Completed"/>
    <s v="Deepa Iyer"/>
    <s v="Cheque"/>
    <n v="6"/>
    <n v="46.43"/>
    <n v="33600"/>
    <s v="North"/>
    <x v="10"/>
    <x v="10"/>
  </r>
  <r>
    <s v="ORD1098"/>
    <d v="2024-05-27T00:00:00"/>
    <s v="C023"/>
    <s v="Annual AMC Contract"/>
    <s v="IT Support"/>
    <n v="1"/>
    <n v="42000"/>
    <n v="18000"/>
    <n v="24000"/>
    <n v="0"/>
    <s v="Cancelled"/>
    <s v="Pooja Singh"/>
    <s v="Credit Card"/>
    <n v="6"/>
    <n v="57.14"/>
    <n v="42000"/>
    <s v="South"/>
    <x v="3"/>
    <x v="3"/>
  </r>
  <r>
    <s v="ORD1099"/>
    <d v="2024-06-08T00:00:00"/>
    <s v="C018"/>
    <s v="RPA Implementation"/>
    <s v="AI &amp; Automation"/>
    <n v="1"/>
    <n v="160000"/>
    <n v="70000"/>
    <n v="90000"/>
    <n v="0"/>
    <s v="Completed"/>
    <s v="Sunita Pillai"/>
    <s v="Bank Transfer"/>
    <n v="6"/>
    <n v="56.25"/>
    <n v="160000"/>
    <s v="South"/>
    <x v="6"/>
    <x v="6"/>
  </r>
  <r>
    <s v="ORD1100"/>
    <d v="2024-09-12T00:00:00"/>
    <s v="C010"/>
    <s v="Network Setup &amp; Config"/>
    <s v="IT Support"/>
    <n v="3"/>
    <n v="148200"/>
    <n v="66000"/>
    <n v="82200"/>
    <n v="5"/>
    <s v="Completed"/>
    <s v="Sunita Pillai"/>
    <s v="Credit Card"/>
    <n v="24"/>
    <n v="55.47"/>
    <n v="49400"/>
    <s v="South"/>
    <x v="7"/>
    <x v="7"/>
  </r>
  <r>
    <s v="ORD1101"/>
    <d v="2024-10-21T00:00:00"/>
    <s v="C030"/>
    <s v="API Integration Service"/>
    <s v="Development"/>
    <n v="5"/>
    <n v="374000"/>
    <n v="190000"/>
    <n v="184000"/>
    <n v="15"/>
    <s v="Completed"/>
    <s v="Priya Nair"/>
    <s v="Cheque"/>
    <n v="24"/>
    <n v="49.2"/>
    <n v="74800"/>
    <s v="North"/>
    <x v="1"/>
    <x v="1"/>
  </r>
  <r>
    <s v="ORD1102"/>
    <d v="2024-06-23T00:00:00"/>
    <s v="C017"/>
    <s v="Firewall &amp; Network Security"/>
    <s v="Security Services"/>
    <n v="1"/>
    <n v="47500"/>
    <n v="20000"/>
    <n v="27500"/>
    <n v="5"/>
    <s v="Cancelled"/>
    <s v="Sandeep Rao"/>
    <s v="Net Banking"/>
    <n v="24"/>
    <n v="57.89"/>
    <n v="47500"/>
    <s v="South"/>
    <x v="6"/>
    <x v="6"/>
  </r>
  <r>
    <s v="ORD1103"/>
    <d v="2024-03-17T00:00:00"/>
    <s v="C016"/>
    <s v="AI/ML Model Development"/>
    <s v="AI &amp; Automation"/>
    <n v="3"/>
    <n v="756000"/>
    <n v="360000"/>
    <n v="396000"/>
    <n v="10"/>
    <s v="In Progress"/>
    <s v="Nikhil Gupta"/>
    <s v="UPI"/>
    <n v="12"/>
    <n v="52.38"/>
    <n v="252000"/>
    <s v="South"/>
    <x v="5"/>
    <x v="5"/>
  </r>
  <r>
    <s v="ORD1104"/>
    <d v="2024-04-06T00:00:00"/>
    <s v="C008"/>
    <s v="Web Portal Development"/>
    <s v="Development"/>
    <n v="4"/>
    <n v="580000"/>
    <n v="240000"/>
    <n v="340000"/>
    <n v="0"/>
    <s v="Completed"/>
    <s v="Rohit Sharma"/>
    <s v="Cheque"/>
    <n v="24"/>
    <n v="58.62"/>
    <n v="145000"/>
    <s v="North"/>
    <x v="10"/>
    <x v="10"/>
  </r>
  <r>
    <s v="ORD1105"/>
    <d v="2024-12-27T00:00:00"/>
    <s v="C013"/>
    <s v="Chatbot Development"/>
    <s v="AI &amp; Automation"/>
    <n v="2"/>
    <n v="247000"/>
    <n v="110000"/>
    <n v="137000"/>
    <n v="5"/>
    <s v="Completed"/>
    <s v="Amit Verma"/>
    <s v="Net Banking"/>
    <n v="12"/>
    <n v="55.47"/>
    <n v="123500"/>
    <s v="North"/>
    <x v="0"/>
    <x v="0"/>
  </r>
  <r>
    <s v="ORD1106"/>
    <d v="2024-02-21T00:00:00"/>
    <s v="C015"/>
    <s v="Enterprise CRM Software"/>
    <s v="Software License"/>
    <n v="5"/>
    <n v="451250"/>
    <n v="200000"/>
    <n v="251250"/>
    <n v="5"/>
    <s v="Completed"/>
    <s v="Amit Verma"/>
    <s v="UPI"/>
    <n v="6"/>
    <n v="55.68"/>
    <n v="90250"/>
    <s v="West"/>
    <x v="11"/>
    <x v="11"/>
  </r>
  <r>
    <s v="ORD1107"/>
    <d v="2024-02-08T00:00:00"/>
    <s v="C009"/>
    <s v="Business Intelligence Report"/>
    <s v="Analytics"/>
    <n v="5"/>
    <n v="276250"/>
    <n v="140000"/>
    <n v="136250"/>
    <n v="15"/>
    <s v="Completed"/>
    <s v="Priya Nair"/>
    <s v="Cheque"/>
    <n v="24"/>
    <n v="49.32"/>
    <n v="55250"/>
    <s v="South"/>
    <x v="11"/>
    <x v="11"/>
  </r>
  <r>
    <s v="ORD1108"/>
    <d v="2024-06-11T00:00:00"/>
    <s v="C029"/>
    <s v="Annual AMC Contract"/>
    <s v="IT Support"/>
    <n v="5"/>
    <n v="210000"/>
    <n v="90000"/>
    <n v="120000"/>
    <n v="0"/>
    <s v="In Progress"/>
    <s v="Priya Nair"/>
    <s v="Credit Card"/>
    <n v="12"/>
    <n v="57.14"/>
    <n v="42000"/>
    <s v="South"/>
    <x v="6"/>
    <x v="6"/>
  </r>
  <r>
    <s v="ORD1109"/>
    <d v="2024-04-26T00:00:00"/>
    <s v="C014"/>
    <s v="Enterprise CRM Software"/>
    <s v="Software License"/>
    <n v="1"/>
    <n v="90250"/>
    <n v="40000"/>
    <n v="50250"/>
    <n v="5"/>
    <s v="Completed"/>
    <s v="Sandeep Rao"/>
    <s v="Bank Transfer"/>
    <n v="3"/>
    <n v="55.68"/>
    <n v="90250"/>
    <s v="South"/>
    <x v="10"/>
    <x v="10"/>
  </r>
  <r>
    <s v="ORD1110"/>
    <d v="2024-06-15T00:00:00"/>
    <s v="C010"/>
    <s v="AI/ML Model Development"/>
    <s v="AI &amp; Automation"/>
    <n v="3"/>
    <n v="798000"/>
    <n v="360000"/>
    <n v="438000"/>
    <n v="5"/>
    <s v="Completed"/>
    <s v="Deepa Iyer"/>
    <s v="Net Banking"/>
    <n v="24"/>
    <n v="54.89"/>
    <n v="266000"/>
    <s v="South"/>
    <x v="6"/>
    <x v="6"/>
  </r>
  <r>
    <s v="ORD1111"/>
    <d v="2024-10-16T00:00:00"/>
    <s v="C006"/>
    <s v="HR Management System"/>
    <s v="Software License"/>
    <n v="2"/>
    <n v="160000"/>
    <n v="70000"/>
    <n v="90000"/>
    <n v="0"/>
    <s v="In Progress"/>
    <s v="Nikhil Gupta"/>
    <s v="Net Banking"/>
    <n v="6"/>
    <n v="56.25"/>
    <n v="80000"/>
    <s v="West"/>
    <x v="1"/>
    <x v="1"/>
  </r>
  <r>
    <s v="ORD1112"/>
    <d v="2024-09-11T00:00:00"/>
    <s v="C005"/>
    <s v="Penetration Testing"/>
    <s v="Security Services"/>
    <n v="4"/>
    <n v="238000"/>
    <n v="120000"/>
    <n v="118000"/>
    <n v="15"/>
    <s v="Completed"/>
    <s v="Sunita Pillai"/>
    <s v="Cheque"/>
    <n v="3"/>
    <n v="49.58"/>
    <n v="59500"/>
    <s v="West"/>
    <x v="7"/>
    <x v="7"/>
  </r>
  <r>
    <s v="ORD1113"/>
    <d v="2024-08-26T00:00:00"/>
    <s v="C022"/>
    <s v="Mobile App Development"/>
    <s v="Development"/>
    <n v="2"/>
    <n v="400000"/>
    <n v="170000"/>
    <n v="230000"/>
    <n v="0"/>
    <s v="Completed"/>
    <s v="Kavita Joshi"/>
    <s v="Net Banking"/>
    <n v="12"/>
    <n v="57.5"/>
    <n v="200000"/>
    <s v="South"/>
    <x v="9"/>
    <x v="9"/>
  </r>
  <r>
    <s v="ORD1114"/>
    <d v="2024-11-23T00:00:00"/>
    <s v="C023"/>
    <s v="Firewall &amp; Network Security"/>
    <s v="Security Services"/>
    <n v="4"/>
    <n v="160000"/>
    <n v="80000"/>
    <n v="80000"/>
    <n v="20"/>
    <s v="Completed"/>
    <s v="Deepa Iyer"/>
    <s v="UPI"/>
    <n v="24"/>
    <n v="50"/>
    <n v="40000"/>
    <s v="South"/>
    <x v="2"/>
    <x v="2"/>
  </r>
  <r>
    <s v="ORD1115"/>
    <d v="2024-12-09T00:00:00"/>
    <s v="C012"/>
    <s v="Web Portal Development"/>
    <s v="Development"/>
    <n v="3"/>
    <n v="369750"/>
    <n v="180000"/>
    <n v="189750"/>
    <n v="15"/>
    <s v="Completed"/>
    <s v="Rohit Sharma"/>
    <s v="UPI"/>
    <n v="12"/>
    <n v="51.32"/>
    <n v="123250"/>
    <s v="North"/>
    <x v="0"/>
    <x v="0"/>
  </r>
  <r>
    <s v="ORD1116"/>
    <d v="2024-01-05T00:00:00"/>
    <s v="C022"/>
    <s v="Cloud Migration Service"/>
    <s v="Cloud Services"/>
    <n v="5"/>
    <n v="595000"/>
    <n v="300000"/>
    <n v="295000"/>
    <n v="15"/>
    <s v="Completed"/>
    <s v="Sandeep Rao"/>
    <s v="Credit Card"/>
    <n v="12"/>
    <n v="49.58"/>
    <n v="119000"/>
    <s v="South"/>
    <x v="8"/>
    <x v="8"/>
  </r>
  <r>
    <s v="ORD1117"/>
    <d v="2024-04-22T00:00:00"/>
    <s v="C020"/>
    <s v="Firewall &amp; Network Security"/>
    <s v="Security Services"/>
    <n v="2"/>
    <n v="85000"/>
    <n v="40000"/>
    <n v="45000"/>
    <n v="15"/>
    <s v="Completed"/>
    <s v="Rohit Sharma"/>
    <s v="Cheque"/>
    <n v="24"/>
    <n v="52.94"/>
    <n v="42500"/>
    <s v="North"/>
    <x v="10"/>
    <x v="10"/>
  </r>
  <r>
    <s v="ORD1118"/>
    <d v="2024-01-18T00:00:00"/>
    <s v="C024"/>
    <s v="ERP Implementation"/>
    <s v="Software License"/>
    <n v="1"/>
    <n v="209000"/>
    <n v="90000"/>
    <n v="119000"/>
    <n v="5"/>
    <s v="Completed"/>
    <s v="Nikhil Gupta"/>
    <s v="Credit Card"/>
    <n v="6"/>
    <n v="56.94"/>
    <n v="209000"/>
    <s v="North"/>
    <x v="8"/>
    <x v="8"/>
  </r>
  <r>
    <s v="ORD1119"/>
    <d v="2024-03-08T00:00:00"/>
    <s v="C029"/>
    <s v="AI/ML Model Development"/>
    <s v="AI &amp; Automation"/>
    <n v="5"/>
    <n v="1260000"/>
    <n v="600000"/>
    <n v="660000"/>
    <n v="10"/>
    <s v="Completed"/>
    <s v="Amit Verma"/>
    <s v="Cheque"/>
    <n v="24"/>
    <n v="52.38"/>
    <n v="252000"/>
    <s v="South"/>
    <x v="5"/>
    <x v="5"/>
  </r>
  <r>
    <s v="ORD1120"/>
    <d v="2024-05-31T00:00:00"/>
    <s v="C011"/>
    <s v="Enterprise CRM Software"/>
    <s v="Software License"/>
    <n v="4"/>
    <n v="380000"/>
    <n v="160000"/>
    <n v="220000"/>
    <n v="0"/>
    <s v="Completed"/>
    <s v="Deepa Iyer"/>
    <s v="UPI"/>
    <n v="12"/>
    <n v="57.89"/>
    <n v="95000"/>
    <s v="South"/>
    <x v="3"/>
    <x v="3"/>
  </r>
  <r>
    <s v="ORD1121"/>
    <d v="2024-02-16T00:00:00"/>
    <s v="C001"/>
    <s v="Firewall &amp; Network Security"/>
    <s v="Security Services"/>
    <n v="5"/>
    <n v="250000"/>
    <n v="100000"/>
    <n v="150000"/>
    <n v="0"/>
    <s v="Completed"/>
    <s v="Kavita Joshi"/>
    <s v="Cheque"/>
    <n v="24"/>
    <n v="60"/>
    <n v="50000"/>
    <s v="South"/>
    <x v="11"/>
    <x v="11"/>
  </r>
  <r>
    <s v="ORD1122"/>
    <d v="2024-11-22T00:00:00"/>
    <s v="C004"/>
    <s v="Penetration Testing"/>
    <s v="Security Services"/>
    <n v="4"/>
    <n v="280000"/>
    <n v="120000"/>
    <n v="160000"/>
    <n v="0"/>
    <s v="In Progress"/>
    <s v="Arjun Mehta"/>
    <s v="Cheque"/>
    <n v="6"/>
    <n v="57.14"/>
    <n v="70000"/>
    <s v="North"/>
    <x v="2"/>
    <x v="2"/>
  </r>
  <r>
    <s v="ORD1123"/>
    <d v="2024-11-25T00:00:00"/>
    <s v="C030"/>
    <s v="Data Analytics Dashboard"/>
    <s v="Analytics"/>
    <n v="4"/>
    <n v="400000"/>
    <n v="180000"/>
    <n v="220000"/>
    <n v="0"/>
    <s v="Completed"/>
    <s v="Rohit Sharma"/>
    <s v="Bank Transfer"/>
    <n v="12"/>
    <n v="55"/>
    <n v="100000"/>
    <s v="North"/>
    <x v="2"/>
    <x v="2"/>
  </r>
  <r>
    <s v="ORD1124"/>
    <d v="2024-10-27T00:00:00"/>
    <s v="C029"/>
    <s v="Mobile App Development"/>
    <s v="Development"/>
    <n v="2"/>
    <n v="380000"/>
    <n v="170000"/>
    <n v="210000"/>
    <n v="5"/>
    <s v="Completed"/>
    <s v="Kavita Joshi"/>
    <s v="Net Banking"/>
    <n v="24"/>
    <n v="55.26"/>
    <n v="190000"/>
    <s v="South"/>
    <x v="1"/>
    <x v="1"/>
  </r>
  <r>
    <s v="ORD1125"/>
    <d v="2024-10-27T00:00:00"/>
    <s v="C005"/>
    <s v="RPA Implementation"/>
    <s v="AI &amp; Automation"/>
    <n v="1"/>
    <n v="128000"/>
    <n v="70000"/>
    <n v="58000"/>
    <n v="20"/>
    <s v="Completed"/>
    <s v="Pooja Singh"/>
    <s v="UPI"/>
    <n v="12"/>
    <n v="45.31"/>
    <n v="128000"/>
    <s v="West"/>
    <x v="1"/>
    <x v="1"/>
  </r>
  <r>
    <s v="ORD1126"/>
    <d v="2024-01-17T00:00:00"/>
    <s v="C007"/>
    <s v="IT Support &amp; Maintenance"/>
    <s v="IT Support"/>
    <n v="4"/>
    <n v="140000"/>
    <n v="60000"/>
    <n v="80000"/>
    <n v="0"/>
    <s v="Completed"/>
    <s v="Priya Nair"/>
    <s v="Cheque"/>
    <n v="12"/>
    <n v="57.14"/>
    <n v="35000"/>
    <s v="West"/>
    <x v="8"/>
    <x v="8"/>
  </r>
  <r>
    <s v="ORD1127"/>
    <d v="2024-02-01T00:00:00"/>
    <s v="C007"/>
    <s v="Enterprise CRM Software"/>
    <s v="Software License"/>
    <n v="4"/>
    <n v="380000"/>
    <n v="160000"/>
    <n v="220000"/>
    <n v="0"/>
    <s v="Cancelled"/>
    <s v="Deepa Iyer"/>
    <s v="Net Banking"/>
    <n v="3"/>
    <n v="57.89"/>
    <n v="95000"/>
    <s v="West"/>
    <x v="11"/>
    <x v="11"/>
  </r>
  <r>
    <s v="ORD1128"/>
    <d v="2024-01-26T00:00:00"/>
    <s v="C008"/>
    <s v="ERP Implementation"/>
    <s v="Software License"/>
    <n v="5"/>
    <n v="1100000"/>
    <n v="450000"/>
    <n v="650000"/>
    <n v="0"/>
    <s v="Completed"/>
    <s v="Arjun Mehta"/>
    <s v="Credit Card"/>
    <n v="6"/>
    <n v="59.09"/>
    <n v="220000"/>
    <s v="North"/>
    <x v="8"/>
    <x v="8"/>
  </r>
  <r>
    <s v="ORD1129"/>
    <d v="2024-04-29T00:00:00"/>
    <s v="C005"/>
    <s v="API Integration Service"/>
    <s v="Development"/>
    <n v="1"/>
    <n v="83600"/>
    <n v="38000"/>
    <n v="45600"/>
    <n v="5"/>
    <s v="Completed"/>
    <s v="Amit Verma"/>
    <s v="Net Banking"/>
    <n v="12"/>
    <n v="54.55"/>
    <n v="83600"/>
    <s v="West"/>
    <x v="10"/>
    <x v="10"/>
  </r>
  <r>
    <s v="ORD1130"/>
    <d v="2024-09-30T00:00:00"/>
    <s v="C005"/>
    <s v="Cloud Infrastructure Setup"/>
    <s v="Cloud Services"/>
    <n v="3"/>
    <n v="432000"/>
    <n v="240000"/>
    <n v="192000"/>
    <n v="20"/>
    <s v="Completed"/>
    <s v="Pooja Singh"/>
    <s v="Cheque"/>
    <n v="3"/>
    <n v="44.44"/>
    <n v="144000"/>
    <s v="West"/>
    <x v="7"/>
    <x v="7"/>
  </r>
  <r>
    <s v="ORD1131"/>
    <d v="2024-10-13T00:00:00"/>
    <s v="C024"/>
    <s v="RPA Implementation"/>
    <s v="AI &amp; Automation"/>
    <n v="5"/>
    <n v="800000"/>
    <n v="350000"/>
    <n v="450000"/>
    <n v="0"/>
    <s v="Cancelled"/>
    <s v="Priya Nair"/>
    <s v="UPI"/>
    <n v="24"/>
    <n v="56.25"/>
    <n v="160000"/>
    <s v="North"/>
    <x v="1"/>
    <x v="1"/>
  </r>
  <r>
    <s v="ORD1132"/>
    <d v="2024-07-04T00:00:00"/>
    <s v="C004"/>
    <s v="IT Support &amp; Maintenance"/>
    <s v="IT Support"/>
    <n v="5"/>
    <n v="175000"/>
    <n v="75000"/>
    <n v="100000"/>
    <n v="0"/>
    <s v="In Progress"/>
    <s v="Rohit Sharma"/>
    <s v="Net Banking"/>
    <n v="12"/>
    <n v="57.14"/>
    <n v="35000"/>
    <s v="North"/>
    <x v="4"/>
    <x v="4"/>
  </r>
  <r>
    <s v="ORD1133"/>
    <d v="2024-08-22T00:00:00"/>
    <s v="C001"/>
    <s v="Cloud Migration Service"/>
    <s v="Cloud Services"/>
    <n v="4"/>
    <n v="448000"/>
    <n v="240000"/>
    <n v="208000"/>
    <n v="20"/>
    <s v="Completed"/>
    <s v="Nikhil Gupta"/>
    <s v="Bank Transfer"/>
    <n v="24"/>
    <n v="46.43"/>
    <n v="112000"/>
    <s v="South"/>
    <x v="9"/>
    <x v="9"/>
  </r>
  <r>
    <s v="ORD1134"/>
    <d v="2024-12-30T00:00:00"/>
    <s v="C003"/>
    <s v="AWS Management Package"/>
    <s v="Cloud Services"/>
    <n v="3"/>
    <n v="324000"/>
    <n v="150000"/>
    <n v="174000"/>
    <n v="10"/>
    <s v="Completed"/>
    <s v="Priya Nair"/>
    <s v="Credit Card"/>
    <n v="12"/>
    <n v="53.7"/>
    <n v="108000"/>
    <s v="South"/>
    <x v="0"/>
    <x v="0"/>
  </r>
  <r>
    <s v="ORD1135"/>
    <d v="2024-11-15T00:00:00"/>
    <s v="C018"/>
    <s v="Business Intelligence Report"/>
    <s v="Analytics"/>
    <n v="4"/>
    <n v="234000"/>
    <n v="112000"/>
    <n v="122000"/>
    <n v="10"/>
    <s v="In Progress"/>
    <s v="Sandeep Rao"/>
    <s v="UPI"/>
    <n v="24"/>
    <n v="52.14"/>
    <n v="58500"/>
    <s v="South"/>
    <x v="2"/>
    <x v="2"/>
  </r>
  <r>
    <s v="ORD1136"/>
    <d v="2024-02-20T00:00:00"/>
    <s v="C004"/>
    <s v="Mobile App Development"/>
    <s v="Development"/>
    <n v="2"/>
    <n v="380000"/>
    <n v="170000"/>
    <n v="210000"/>
    <n v="5"/>
    <s v="Completed"/>
    <s v="Deepa Iyer"/>
    <s v="UPI"/>
    <n v="12"/>
    <n v="55.26"/>
    <n v="190000"/>
    <s v="North"/>
    <x v="11"/>
    <x v="11"/>
  </r>
  <r>
    <s v="ORD1137"/>
    <d v="2024-08-20T00:00:00"/>
    <s v="C024"/>
    <s v="Enterprise CRM Software"/>
    <s v="Software License"/>
    <n v="3"/>
    <n v="270750"/>
    <n v="120000"/>
    <n v="150750"/>
    <n v="5"/>
    <s v="Completed"/>
    <s v="Sandeep Rao"/>
    <s v="Cheque"/>
    <n v="6"/>
    <n v="55.68"/>
    <n v="90250"/>
    <s v="North"/>
    <x v="9"/>
    <x v="9"/>
  </r>
  <r>
    <s v="ORD1138"/>
    <d v="2024-12-17T00:00:00"/>
    <s v="C003"/>
    <s v="AWS Management Package"/>
    <s v="Cloud Services"/>
    <n v="1"/>
    <n v="120000"/>
    <n v="50000"/>
    <n v="70000"/>
    <n v="0"/>
    <s v="Completed"/>
    <s v="Priya Nair"/>
    <s v="Cheque"/>
    <n v="6"/>
    <n v="58.33"/>
    <n v="120000"/>
    <s v="South"/>
    <x v="0"/>
    <x v="0"/>
  </r>
  <r>
    <s v="ORD1139"/>
    <d v="2024-12-07T00:00:00"/>
    <s v="C018"/>
    <s v="Business Intelligence Report"/>
    <s v="Analytics"/>
    <n v="1"/>
    <n v="61750"/>
    <n v="28000"/>
    <n v="33750"/>
    <n v="5"/>
    <s v="Completed"/>
    <s v="Nikhil Gupta"/>
    <s v="Bank Transfer"/>
    <n v="12"/>
    <n v="54.66"/>
    <n v="61750"/>
    <s v="South"/>
    <x v="0"/>
    <x v="0"/>
  </r>
  <r>
    <s v="ORD1140"/>
    <d v="2024-11-03T00:00:00"/>
    <s v="C004"/>
    <s v="Web Portal Development"/>
    <s v="Development"/>
    <n v="5"/>
    <n v="725000"/>
    <n v="300000"/>
    <n v="425000"/>
    <n v="0"/>
    <s v="Completed"/>
    <s v="Sunita Pillai"/>
    <s v="Credit Card"/>
    <n v="3"/>
    <n v="58.62"/>
    <n v="145000"/>
    <s v="North"/>
    <x v="2"/>
    <x v="2"/>
  </r>
  <r>
    <s v="ORD1141"/>
    <d v="2024-06-28T00:00:00"/>
    <s v="C012"/>
    <s v="Enterprise CRM Software"/>
    <s v="Software License"/>
    <n v="3"/>
    <n v="256500"/>
    <n v="120000"/>
    <n v="136500"/>
    <n v="10"/>
    <s v="Completed"/>
    <s v="Nikhil Gupta"/>
    <s v="Net Banking"/>
    <n v="3"/>
    <n v="53.22"/>
    <n v="85500"/>
    <s v="North"/>
    <x v="6"/>
    <x v="6"/>
  </r>
  <r>
    <s v="ORD1142"/>
    <d v="2024-11-07T00:00:00"/>
    <s v="C027"/>
    <s v="Firewall &amp; Network Security"/>
    <s v="Security Services"/>
    <n v="1"/>
    <n v="50000"/>
    <n v="20000"/>
    <n v="30000"/>
    <n v="0"/>
    <s v="Completed"/>
    <s v="Sandeep Rao"/>
    <s v="Cheque"/>
    <n v="12"/>
    <n v="60"/>
    <n v="50000"/>
    <s v="North"/>
    <x v="2"/>
    <x v="2"/>
  </r>
  <r>
    <s v="ORD1143"/>
    <d v="2024-10-15T00:00:00"/>
    <s v="C019"/>
    <s v="Chatbot Development"/>
    <s v="AI &amp; Automation"/>
    <n v="1"/>
    <n v="130000"/>
    <n v="55000"/>
    <n v="75000"/>
    <n v="0"/>
    <s v="Cancelled"/>
    <s v="Rohit Sharma"/>
    <s v="Bank Transfer"/>
    <n v="6"/>
    <n v="57.69"/>
    <n v="130000"/>
    <s v="North"/>
    <x v="1"/>
    <x v="1"/>
  </r>
  <r>
    <s v="ORD1144"/>
    <d v="2024-07-11T00:00:00"/>
    <s v="C011"/>
    <s v="HR Management System"/>
    <s v="Software License"/>
    <n v="3"/>
    <n v="228000"/>
    <n v="105000"/>
    <n v="123000"/>
    <n v="5"/>
    <s v="Cancelled"/>
    <s v="Kavita Joshi"/>
    <s v="Net Banking"/>
    <n v="3"/>
    <n v="53.95"/>
    <n v="76000"/>
    <s v="South"/>
    <x v="4"/>
    <x v="4"/>
  </r>
  <r>
    <s v="ORD1145"/>
    <d v="2024-12-15T00:00:00"/>
    <s v="C002"/>
    <s v="AWS Management Package"/>
    <s v="Cloud Services"/>
    <n v="3"/>
    <n v="342000"/>
    <n v="150000"/>
    <n v="192000"/>
    <n v="5"/>
    <s v="Cancelled"/>
    <s v="Nikhil Gupta"/>
    <s v="UPI"/>
    <n v="24"/>
    <n v="56.14"/>
    <n v="114000"/>
    <s v="West"/>
    <x v="0"/>
    <x v="0"/>
  </r>
  <r>
    <s v="ORD1146"/>
    <d v="2024-12-01T00:00:00"/>
    <s v="C004"/>
    <s v="AI/ML Model Development"/>
    <s v="AI &amp; Automation"/>
    <n v="4"/>
    <n v="1120000"/>
    <n v="480000"/>
    <n v="640000"/>
    <n v="0"/>
    <s v="Completed"/>
    <s v="Pooja Singh"/>
    <s v="UPI"/>
    <n v="12"/>
    <n v="57.14"/>
    <n v="280000"/>
    <s v="North"/>
    <x v="0"/>
    <x v="0"/>
  </r>
  <r>
    <s v="ORD1147"/>
    <d v="2024-12-12T00:00:00"/>
    <s v="C002"/>
    <s v="Cloud Infrastructure Setup"/>
    <s v="Cloud Services"/>
    <n v="2"/>
    <n v="342000"/>
    <n v="160000"/>
    <n v="182000"/>
    <n v="5"/>
    <s v="Completed"/>
    <s v="Amit Verma"/>
    <s v="Cheque"/>
    <n v="12"/>
    <n v="53.22"/>
    <n v="171000"/>
    <s v="West"/>
    <x v="0"/>
    <x v="0"/>
  </r>
  <r>
    <s v="ORD1148"/>
    <d v="2024-11-29T00:00:00"/>
    <s v="C024"/>
    <s v="RPA Implementation"/>
    <s v="AI &amp; Automation"/>
    <n v="2"/>
    <n v="320000"/>
    <n v="140000"/>
    <n v="180000"/>
    <n v="0"/>
    <s v="Completed"/>
    <s v="Arjun Mehta"/>
    <s v="Credit Card"/>
    <n v="12"/>
    <n v="56.25"/>
    <n v="160000"/>
    <s v="North"/>
    <x v="2"/>
    <x v="2"/>
  </r>
  <r>
    <s v="ORD1149"/>
    <d v="2024-02-06T00:00:00"/>
    <s v="C024"/>
    <s v="Cloud Migration Service"/>
    <s v="Cloud Services"/>
    <n v="4"/>
    <n v="560000"/>
    <n v="240000"/>
    <n v="320000"/>
    <n v="0"/>
    <s v="Completed"/>
    <s v="Priya Nair"/>
    <s v="Cheque"/>
    <n v="24"/>
    <n v="57.14"/>
    <n v="140000"/>
    <s v="North"/>
    <x v="11"/>
    <x v="11"/>
  </r>
  <r>
    <s v="ORD1150"/>
    <d v="2024-10-20T00:00:00"/>
    <s v="C021"/>
    <s v="RPA Implementation"/>
    <s v="AI &amp; Automation"/>
    <n v="3"/>
    <n v="480000"/>
    <n v="210000"/>
    <n v="270000"/>
    <n v="0"/>
    <s v="Completed"/>
    <s v="Rohit Sharma"/>
    <s v="Cheque"/>
    <n v="6"/>
    <n v="56.25"/>
    <n v="160000"/>
    <s v="West"/>
    <x v="1"/>
    <x v="1"/>
  </r>
  <r>
    <s v="ORD1151"/>
    <d v="2024-11-12T00:00:00"/>
    <s v="C023"/>
    <s v="AI/ML Model Development"/>
    <s v="AI &amp; Automation"/>
    <n v="1"/>
    <n v="266000"/>
    <n v="120000"/>
    <n v="146000"/>
    <n v="5"/>
    <s v="Completed"/>
    <s v="Deepa Iyer"/>
    <s v="UPI"/>
    <n v="24"/>
    <n v="54.89"/>
    <n v="266000"/>
    <s v="South"/>
    <x v="2"/>
    <x v="2"/>
  </r>
  <r>
    <s v="ORD1152"/>
    <d v="2024-11-05T00:00:00"/>
    <s v="C024"/>
    <s v="Business Intelligence Report"/>
    <s v="Analytics"/>
    <n v="2"/>
    <n v="123500"/>
    <n v="56000"/>
    <n v="67500"/>
    <n v="5"/>
    <s v="Completed"/>
    <s v="Priya Nair"/>
    <s v="Net Banking"/>
    <n v="3"/>
    <n v="54.66"/>
    <n v="61750"/>
    <s v="North"/>
    <x v="2"/>
    <x v="2"/>
  </r>
  <r>
    <s v="ORD1153"/>
    <d v="2024-09-28T00:00:00"/>
    <s v="C029"/>
    <s v="AI/ML Model Development"/>
    <s v="AI &amp; Automation"/>
    <n v="3"/>
    <n v="714000"/>
    <n v="360000"/>
    <n v="354000"/>
    <n v="15"/>
    <s v="Cancelled"/>
    <s v="Amit Verma"/>
    <s v="Credit Card"/>
    <n v="3"/>
    <n v="49.58"/>
    <n v="238000"/>
    <s v="South"/>
    <x v="7"/>
    <x v="7"/>
  </r>
  <r>
    <s v="ORD1154"/>
    <d v="2024-10-19T00:00:00"/>
    <s v="C020"/>
    <s v="ERP Implementation"/>
    <s v="Software License"/>
    <n v="1"/>
    <n v="220000"/>
    <n v="90000"/>
    <n v="130000"/>
    <n v="0"/>
    <s v="Cancelled"/>
    <s v="Sunita Pillai"/>
    <s v="UPI"/>
    <n v="24"/>
    <n v="59.09"/>
    <n v="220000"/>
    <s v="North"/>
    <x v="1"/>
    <x v="1"/>
  </r>
  <r>
    <s v="ORD1155"/>
    <d v="2024-12-14T00:00:00"/>
    <s v="C019"/>
    <s v="API Integration Service"/>
    <s v="Development"/>
    <n v="3"/>
    <n v="211200"/>
    <n v="114000"/>
    <n v="97200"/>
    <n v="20"/>
    <s v="Cancelled"/>
    <s v="Kavita Joshi"/>
    <s v="Credit Card"/>
    <n v="24"/>
    <n v="46.02"/>
    <n v="70400"/>
    <s v="North"/>
    <x v="0"/>
    <x v="0"/>
  </r>
  <r>
    <s v="ORD1156"/>
    <d v="2024-02-04T00:00:00"/>
    <s v="C021"/>
    <s v="Data Analytics Dashboard"/>
    <s v="Analytics"/>
    <n v="3"/>
    <n v="270000"/>
    <n v="135000"/>
    <n v="135000"/>
    <n v="10"/>
    <s v="Completed"/>
    <s v="Kavita Joshi"/>
    <s v="Net Banking"/>
    <n v="3"/>
    <n v="50"/>
    <n v="90000"/>
    <s v="West"/>
    <x v="11"/>
    <x v="11"/>
  </r>
  <r>
    <s v="ORD1157"/>
    <d v="2024-06-07T00:00:00"/>
    <s v="C002"/>
    <s v="Cloud Migration Service"/>
    <s v="Cloud Services"/>
    <n v="3"/>
    <n v="336000"/>
    <n v="180000"/>
    <n v="156000"/>
    <n v="20"/>
    <s v="Completed"/>
    <s v="Priya Nair"/>
    <s v="Bank Transfer"/>
    <n v="24"/>
    <n v="46.43"/>
    <n v="112000"/>
    <s v="West"/>
    <x v="6"/>
    <x v="6"/>
  </r>
  <r>
    <s v="ORD1158"/>
    <d v="2024-08-24T00:00:00"/>
    <s v="C026"/>
    <s v="Cloud Migration Service"/>
    <s v="Cloud Services"/>
    <n v="4"/>
    <n v="448000"/>
    <n v="240000"/>
    <n v="208000"/>
    <n v="20"/>
    <s v="In Progress"/>
    <s v="Deepa Iyer"/>
    <s v="Cheque"/>
    <n v="24"/>
    <n v="46.43"/>
    <n v="112000"/>
    <s v="North"/>
    <x v="9"/>
    <x v="9"/>
  </r>
  <r>
    <s v="ORD1159"/>
    <d v="2024-10-04T00:00:00"/>
    <s v="C015"/>
    <s v="Enterprise CRM Software"/>
    <s v="Software License"/>
    <n v="3"/>
    <n v="242250"/>
    <n v="120000"/>
    <n v="122250"/>
    <n v="15"/>
    <s v="Completed"/>
    <s v="Arjun Mehta"/>
    <s v="Credit Card"/>
    <n v="3"/>
    <n v="50.46"/>
    <n v="80750"/>
    <s v="West"/>
    <x v="1"/>
    <x v="1"/>
  </r>
  <r>
    <s v="ORD1160"/>
    <d v="2024-05-06T00:00:00"/>
    <s v="C015"/>
    <s v="Network Setup &amp; Config"/>
    <s v="IT Support"/>
    <n v="5"/>
    <n v="234000"/>
    <n v="110000"/>
    <n v="124000"/>
    <n v="10"/>
    <s v="Completed"/>
    <s v="Kavita Joshi"/>
    <s v="Cheque"/>
    <n v="12"/>
    <n v="52.99"/>
    <n v="46800"/>
    <s v="West"/>
    <x v="3"/>
    <x v="3"/>
  </r>
  <r>
    <s v="ORD1161"/>
    <d v="2024-07-17T00:00:00"/>
    <s v="C011"/>
    <s v="API Integration Service"/>
    <s v="Development"/>
    <n v="1"/>
    <n v="70400"/>
    <n v="38000"/>
    <n v="32400"/>
    <n v="20"/>
    <s v="Cancelled"/>
    <s v="Kavita Joshi"/>
    <s v="Bank Transfer"/>
    <n v="12"/>
    <n v="46.02"/>
    <n v="70400"/>
    <s v="South"/>
    <x v="4"/>
    <x v="4"/>
  </r>
  <r>
    <s v="ORD1162"/>
    <d v="2024-02-18T00:00:00"/>
    <s v="C013"/>
    <s v="Data Analytics Dashboard"/>
    <s v="Analytics"/>
    <n v="3"/>
    <n v="255000"/>
    <n v="135000"/>
    <n v="120000"/>
    <n v="15"/>
    <s v="Cancelled"/>
    <s v="Pooja Singh"/>
    <s v="Credit Card"/>
    <n v="12"/>
    <n v="47.06"/>
    <n v="85000"/>
    <s v="North"/>
    <x v="11"/>
    <x v="11"/>
  </r>
  <r>
    <s v="ORD1163"/>
    <d v="2024-02-11T00:00:00"/>
    <s v="C005"/>
    <s v="AI/ML Model Development"/>
    <s v="AI &amp; Automation"/>
    <n v="3"/>
    <n v="714000"/>
    <n v="360000"/>
    <n v="354000"/>
    <n v="15"/>
    <s v="Cancelled"/>
    <s v="Nikhil Gupta"/>
    <s v="Credit Card"/>
    <n v="3"/>
    <n v="49.58"/>
    <n v="238000"/>
    <s v="West"/>
    <x v="11"/>
    <x v="11"/>
  </r>
  <r>
    <s v="ORD1164"/>
    <d v="2024-06-07T00:00:00"/>
    <s v="C021"/>
    <s v="Business Intelligence Report"/>
    <s v="Analytics"/>
    <n v="2"/>
    <n v="110500"/>
    <n v="56000"/>
    <n v="54500"/>
    <n v="15"/>
    <s v="Cancelled"/>
    <s v="Arjun Mehta"/>
    <s v="Bank Transfer"/>
    <n v="24"/>
    <n v="49.32"/>
    <n v="55250"/>
    <s v="West"/>
    <x v="6"/>
    <x v="6"/>
  </r>
  <r>
    <s v="ORD1165"/>
    <d v="2024-09-17T00:00:00"/>
    <s v="C012"/>
    <s v="Data Analytics Dashboard"/>
    <s v="Analytics"/>
    <n v="2"/>
    <n v="200000"/>
    <n v="90000"/>
    <n v="110000"/>
    <n v="0"/>
    <s v="Completed"/>
    <s v="Sunita Pillai"/>
    <s v="Credit Card"/>
    <n v="6"/>
    <n v="55"/>
    <n v="100000"/>
    <s v="North"/>
    <x v="7"/>
    <x v="7"/>
  </r>
  <r>
    <s v="ORD1166"/>
    <d v="2024-11-03T00:00:00"/>
    <s v="C028"/>
    <s v="Enterprise CRM Software"/>
    <s v="Software License"/>
    <n v="5"/>
    <n v="380000"/>
    <n v="200000"/>
    <n v="180000"/>
    <n v="20"/>
    <s v="In Progress"/>
    <s v="Arjun Mehta"/>
    <s v="Bank Transfer"/>
    <n v="12"/>
    <n v="47.37"/>
    <n v="76000"/>
    <s v="South"/>
    <x v="2"/>
    <x v="2"/>
  </r>
  <r>
    <s v="ORD1167"/>
    <d v="2024-11-14T00:00:00"/>
    <s v="C005"/>
    <s v="HR Management System"/>
    <s v="Software License"/>
    <n v="2"/>
    <n v="128000"/>
    <n v="70000"/>
    <n v="58000"/>
    <n v="20"/>
    <s v="Cancelled"/>
    <s v="Pooja Singh"/>
    <s v="Credit Card"/>
    <n v="24"/>
    <n v="45.31"/>
    <n v="64000"/>
    <s v="West"/>
    <x v="2"/>
    <x v="2"/>
  </r>
  <r>
    <s v="ORD1168"/>
    <d v="2024-01-23T00:00:00"/>
    <s v="C022"/>
    <s v="Penetration Testing"/>
    <s v="Security Services"/>
    <n v="4"/>
    <n v="252000"/>
    <n v="120000"/>
    <n v="132000"/>
    <n v="10"/>
    <s v="Completed"/>
    <s v="Sunita Pillai"/>
    <s v="Credit Card"/>
    <n v="6"/>
    <n v="52.38"/>
    <n v="63000"/>
    <s v="South"/>
    <x v="8"/>
    <x v="8"/>
  </r>
  <r>
    <s v="ORD1169"/>
    <d v="2024-06-07T00:00:00"/>
    <s v="C026"/>
    <s v="Annual AMC Contract"/>
    <s v="IT Support"/>
    <n v="2"/>
    <n v="79800"/>
    <n v="36000"/>
    <n v="43800"/>
    <n v="5"/>
    <s v="Cancelled"/>
    <s v="Pooja Singh"/>
    <s v="UPI"/>
    <n v="24"/>
    <n v="54.89"/>
    <n v="39900"/>
    <s v="North"/>
    <x v="6"/>
    <x v="6"/>
  </r>
  <r>
    <s v="ORD1170"/>
    <d v="2024-05-24T00:00:00"/>
    <s v="C017"/>
    <s v="Network Setup &amp; Config"/>
    <s v="IT Support"/>
    <n v="4"/>
    <n v="208000"/>
    <n v="88000"/>
    <n v="120000"/>
    <n v="0"/>
    <s v="Completed"/>
    <s v="Pooja Singh"/>
    <s v="Credit Card"/>
    <n v="12"/>
    <n v="57.69"/>
    <n v="52000"/>
    <s v="South"/>
    <x v="3"/>
    <x v="3"/>
  </r>
  <r>
    <s v="ORD1171"/>
    <d v="2024-01-27T00:00:00"/>
    <s v="C028"/>
    <s v="AI/ML Model Development"/>
    <s v="AI &amp; Automation"/>
    <n v="5"/>
    <n v="1400000"/>
    <n v="600000"/>
    <n v="800000"/>
    <n v="0"/>
    <s v="Cancelled"/>
    <s v="Arjun Mehta"/>
    <s v="Bank Transfer"/>
    <n v="12"/>
    <n v="57.14"/>
    <n v="280000"/>
    <s v="South"/>
    <x v="8"/>
    <x v="8"/>
  </r>
  <r>
    <s v="ORD1172"/>
    <d v="2024-02-12T00:00:00"/>
    <s v="C009"/>
    <s v="IT Support &amp; Maintenance"/>
    <s v="IT Support"/>
    <n v="5"/>
    <n v="175000"/>
    <n v="75000"/>
    <n v="100000"/>
    <n v="0"/>
    <s v="Completed"/>
    <s v="Priya Nair"/>
    <s v="Credit Card"/>
    <n v="24"/>
    <n v="57.14"/>
    <n v="35000"/>
    <s v="South"/>
    <x v="11"/>
    <x v="11"/>
  </r>
  <r>
    <s v="ORD1173"/>
    <d v="2024-06-27T00:00:00"/>
    <s v="C014"/>
    <s v="Cloud Migration Service"/>
    <s v="Cloud Services"/>
    <n v="4"/>
    <n v="504000"/>
    <n v="240000"/>
    <n v="264000"/>
    <n v="10"/>
    <s v="Completed"/>
    <s v="Deepa Iyer"/>
    <s v="UPI"/>
    <n v="3"/>
    <n v="52.38"/>
    <n v="126000"/>
    <s v="South"/>
    <x v="6"/>
    <x v="6"/>
  </r>
  <r>
    <s v="ORD1174"/>
    <d v="2024-11-06T00:00:00"/>
    <s v="C030"/>
    <s v="Enterprise CRM Software"/>
    <s v="Software License"/>
    <n v="3"/>
    <n v="228000"/>
    <n v="120000"/>
    <n v="108000"/>
    <n v="20"/>
    <s v="Completed"/>
    <s v="Amit Verma"/>
    <s v="Bank Transfer"/>
    <n v="12"/>
    <n v="47.37"/>
    <n v="76000"/>
    <s v="North"/>
    <x v="2"/>
    <x v="2"/>
  </r>
  <r>
    <s v="ORD1175"/>
    <d v="2024-08-29T00:00:00"/>
    <s v="C005"/>
    <s v="Annual AMC Contract"/>
    <s v="IT Support"/>
    <n v="4"/>
    <n v="151200"/>
    <n v="72000"/>
    <n v="79200"/>
    <n v="10"/>
    <s v="Completed"/>
    <s v="Priya Nair"/>
    <s v="Bank Transfer"/>
    <n v="12"/>
    <n v="52.38"/>
    <n v="37800"/>
    <s v="West"/>
    <x v="9"/>
    <x v="9"/>
  </r>
  <r>
    <s v="ORD1176"/>
    <d v="2024-04-20T00:00:00"/>
    <s v="C018"/>
    <s v="API Integration Service"/>
    <s v="Development"/>
    <n v="5"/>
    <n v="418000"/>
    <n v="190000"/>
    <n v="228000"/>
    <n v="5"/>
    <s v="Completed"/>
    <s v="Sandeep Rao"/>
    <s v="Credit Card"/>
    <n v="12"/>
    <n v="54.55"/>
    <n v="83600"/>
    <s v="South"/>
    <x v="10"/>
    <x v="10"/>
  </r>
  <r>
    <s v="ORD1177"/>
    <d v="2024-11-19T00:00:00"/>
    <s v="C021"/>
    <s v="API Integration Service"/>
    <s v="Development"/>
    <n v="4"/>
    <n v="352000"/>
    <n v="152000"/>
    <n v="200000"/>
    <n v="0"/>
    <s v="Completed"/>
    <s v="Sunita Pillai"/>
    <s v="Net Banking"/>
    <n v="3"/>
    <n v="56.82"/>
    <n v="88000"/>
    <s v="West"/>
    <x v="2"/>
    <x v="2"/>
  </r>
  <r>
    <s v="ORD1178"/>
    <d v="2024-11-19T00:00:00"/>
    <s v="C008"/>
    <s v="ERP Implementation"/>
    <s v="Software License"/>
    <n v="3"/>
    <n v="627000"/>
    <n v="270000"/>
    <n v="357000"/>
    <n v="5"/>
    <s v="Completed"/>
    <s v="Pooja Singh"/>
    <s v="Cheque"/>
    <n v="6"/>
    <n v="56.94"/>
    <n v="209000"/>
    <s v="North"/>
    <x v="2"/>
    <x v="2"/>
  </r>
  <r>
    <s v="ORD1179"/>
    <d v="2024-10-19T00:00:00"/>
    <s v="C022"/>
    <s v="AWS Management Package"/>
    <s v="Cloud Services"/>
    <n v="5"/>
    <n v="570000"/>
    <n v="250000"/>
    <n v="320000"/>
    <n v="5"/>
    <s v="Completed"/>
    <s v="Arjun Mehta"/>
    <s v="Net Banking"/>
    <n v="3"/>
    <n v="56.14"/>
    <n v="114000"/>
    <s v="South"/>
    <x v="1"/>
    <x v="1"/>
  </r>
  <r>
    <s v="ORD1180"/>
    <d v="2024-07-18T00:00:00"/>
    <s v="C002"/>
    <s v="Chatbot Development"/>
    <s v="AI &amp; Automation"/>
    <n v="3"/>
    <n v="370500"/>
    <n v="165000"/>
    <n v="205500"/>
    <n v="5"/>
    <s v="Cancelled"/>
    <s v="Rohit Sharma"/>
    <s v="Cheque"/>
    <n v="3"/>
    <n v="55.47"/>
    <n v="123500"/>
    <s v="West"/>
    <x v="4"/>
    <x v="4"/>
  </r>
  <r>
    <s v="ORD1181"/>
    <d v="2024-12-20T00:00:00"/>
    <s v="C021"/>
    <s v="Enterprise CRM Software"/>
    <s v="Software License"/>
    <n v="5"/>
    <n v="403750"/>
    <n v="200000"/>
    <n v="203750"/>
    <n v="15"/>
    <s v="Completed"/>
    <s v="Amit Verma"/>
    <s v="Bank Transfer"/>
    <n v="12"/>
    <n v="50.46"/>
    <n v="80750"/>
    <s v="West"/>
    <x v="0"/>
    <x v="0"/>
  </r>
  <r>
    <s v="ORD1182"/>
    <d v="2024-10-06T00:00:00"/>
    <s v="C021"/>
    <s v="HR Management System"/>
    <s v="Software License"/>
    <n v="4"/>
    <n v="272000"/>
    <n v="140000"/>
    <n v="132000"/>
    <n v="15"/>
    <s v="Completed"/>
    <s v="Amit Verma"/>
    <s v="Credit Card"/>
    <n v="3"/>
    <n v="48.53"/>
    <n v="68000"/>
    <s v="West"/>
    <x v="1"/>
    <x v="1"/>
  </r>
  <r>
    <s v="ORD1183"/>
    <d v="2024-10-22T00:00:00"/>
    <s v="C002"/>
    <s v="Cybersecurity Audit"/>
    <s v="Security Services"/>
    <n v="1"/>
    <n v="57000"/>
    <n v="25000"/>
    <n v="32000"/>
    <n v="5"/>
    <s v="Completed"/>
    <s v="Arjun Mehta"/>
    <s v="UPI"/>
    <n v="24"/>
    <n v="56.14"/>
    <n v="57000"/>
    <s v="West"/>
    <x v="1"/>
    <x v="1"/>
  </r>
  <r>
    <s v="ORD1184"/>
    <d v="2024-12-18T00:00:00"/>
    <s v="C007"/>
    <s v="Data Analytics Dashboard"/>
    <s v="Analytics"/>
    <n v="3"/>
    <n v="240000"/>
    <n v="135000"/>
    <n v="105000"/>
    <n v="20"/>
    <s v="Completed"/>
    <s v="Kavita Joshi"/>
    <s v="Cheque"/>
    <n v="3"/>
    <n v="43.75"/>
    <n v="80000"/>
    <s v="West"/>
    <x v="0"/>
    <x v="0"/>
  </r>
  <r>
    <s v="ORD1185"/>
    <d v="2024-07-07T00:00:00"/>
    <s v="C013"/>
    <s v="IT Support &amp; Maintenance"/>
    <s v="IT Support"/>
    <n v="4"/>
    <n v="133000"/>
    <n v="60000"/>
    <n v="73000"/>
    <n v="5"/>
    <s v="Completed"/>
    <s v="Sunita Pillai"/>
    <s v="UPI"/>
    <n v="12"/>
    <n v="54.89"/>
    <n v="33250"/>
    <s v="North"/>
    <x v="4"/>
    <x v="4"/>
  </r>
  <r>
    <s v="ORD1186"/>
    <d v="2024-10-07T00:00:00"/>
    <s v="C024"/>
    <s v="RPA Implementation"/>
    <s v="AI &amp; Automation"/>
    <n v="1"/>
    <n v="152000"/>
    <n v="70000"/>
    <n v="82000"/>
    <n v="5"/>
    <s v="In Progress"/>
    <s v="Amit Verma"/>
    <s v="Net Banking"/>
    <n v="12"/>
    <n v="53.95"/>
    <n v="152000"/>
    <s v="North"/>
    <x v="1"/>
    <x v="1"/>
  </r>
  <r>
    <s v="ORD1187"/>
    <d v="2024-11-07T00:00:00"/>
    <s v="C022"/>
    <s v="Data Analytics Dashboard"/>
    <s v="Analytics"/>
    <n v="3"/>
    <n v="285000"/>
    <n v="135000"/>
    <n v="150000"/>
    <n v="5"/>
    <s v="In Progress"/>
    <s v="Nikhil Gupta"/>
    <s v="Credit Card"/>
    <n v="24"/>
    <n v="52.63"/>
    <n v="95000"/>
    <s v="South"/>
    <x v="2"/>
    <x v="2"/>
  </r>
  <r>
    <s v="ORD1188"/>
    <d v="2024-06-28T00:00:00"/>
    <s v="C024"/>
    <s v="AI/ML Model Development"/>
    <s v="AI &amp; Automation"/>
    <n v="5"/>
    <n v="1330000"/>
    <n v="600000"/>
    <n v="730000"/>
    <n v="5"/>
    <s v="Completed"/>
    <s v="Rohit Sharma"/>
    <s v="Bank Transfer"/>
    <n v="24"/>
    <n v="54.89"/>
    <n v="266000"/>
    <s v="North"/>
    <x v="6"/>
    <x v="6"/>
  </r>
  <r>
    <s v="ORD1189"/>
    <d v="2024-07-05T00:00:00"/>
    <s v="C024"/>
    <s v="HR Management System"/>
    <s v="Software License"/>
    <n v="1"/>
    <n v="80000"/>
    <n v="35000"/>
    <n v="45000"/>
    <n v="0"/>
    <s v="In Progress"/>
    <s v="Sunita Pillai"/>
    <s v="Bank Transfer"/>
    <n v="6"/>
    <n v="56.25"/>
    <n v="80000"/>
    <s v="North"/>
    <x v="4"/>
    <x v="4"/>
  </r>
  <r>
    <s v="ORD1190"/>
    <d v="2024-12-18T00:00:00"/>
    <s v="C012"/>
    <s v="AI/ML Model Development"/>
    <s v="AI &amp; Automation"/>
    <n v="4"/>
    <n v="1008000"/>
    <n v="480000"/>
    <n v="528000"/>
    <n v="10"/>
    <s v="Completed"/>
    <s v="Pooja Singh"/>
    <s v="Credit Card"/>
    <n v="24"/>
    <n v="52.38"/>
    <n v="252000"/>
    <s v="North"/>
    <x v="0"/>
    <x v="0"/>
  </r>
  <r>
    <s v="ORD1191"/>
    <d v="2024-07-08T00:00:00"/>
    <s v="C025"/>
    <s v="AWS Management Package"/>
    <s v="Cloud Services"/>
    <n v="5"/>
    <n v="600000"/>
    <n v="250000"/>
    <n v="350000"/>
    <n v="0"/>
    <s v="In Progress"/>
    <s v="Kavita Joshi"/>
    <s v="UPI"/>
    <n v="12"/>
    <n v="58.33"/>
    <n v="120000"/>
    <s v="North"/>
    <x v="4"/>
    <x v="4"/>
  </r>
  <r>
    <s v="ORD1192"/>
    <d v="2024-10-11T00:00:00"/>
    <s v="C001"/>
    <s v="HR Management System"/>
    <s v="Software License"/>
    <n v="4"/>
    <n v="288000"/>
    <n v="140000"/>
    <n v="148000"/>
    <n v="10"/>
    <s v="Completed"/>
    <s v="Arjun Mehta"/>
    <s v="Bank Transfer"/>
    <n v="12"/>
    <n v="51.39"/>
    <n v="72000"/>
    <s v="South"/>
    <x v="1"/>
    <x v="1"/>
  </r>
  <r>
    <s v="ORD1193"/>
    <d v="2024-05-13T00:00:00"/>
    <s v="C007"/>
    <s v="API Integration Service"/>
    <s v="Development"/>
    <n v="3"/>
    <n v="224400"/>
    <n v="114000"/>
    <n v="110400"/>
    <n v="15"/>
    <s v="Completed"/>
    <s v="Deepa Iyer"/>
    <s v="Bank Transfer"/>
    <n v="6"/>
    <n v="49.2"/>
    <n v="74800"/>
    <s v="West"/>
    <x v="3"/>
    <x v="3"/>
  </r>
  <r>
    <s v="ORD1194"/>
    <d v="2024-02-07T00:00:00"/>
    <s v="C029"/>
    <s v="IT Support &amp; Maintenance"/>
    <s v="IT Support"/>
    <n v="1"/>
    <n v="28000"/>
    <n v="15000"/>
    <n v="13000"/>
    <n v="20"/>
    <s v="Cancelled"/>
    <s v="Kavita Joshi"/>
    <s v="Cheque"/>
    <n v="3"/>
    <n v="46.43"/>
    <n v="28000"/>
    <s v="South"/>
    <x v="11"/>
    <x v="11"/>
  </r>
  <r>
    <s v="ORD1195"/>
    <d v="2024-10-08T00:00:00"/>
    <s v="C029"/>
    <s v="Data Analytics Dashboard"/>
    <s v="Analytics"/>
    <n v="2"/>
    <n v="170000"/>
    <n v="90000"/>
    <n v="80000"/>
    <n v="15"/>
    <s v="Cancelled"/>
    <s v="Amit Verma"/>
    <s v="Cheque"/>
    <n v="6"/>
    <n v="47.06"/>
    <n v="85000"/>
    <s v="South"/>
    <x v="1"/>
    <x v="1"/>
  </r>
  <r>
    <s v="ORD1196"/>
    <d v="2024-03-03T00:00:00"/>
    <s v="C026"/>
    <s v="ERP Implementation"/>
    <s v="Software License"/>
    <n v="2"/>
    <n v="352000"/>
    <n v="180000"/>
    <n v="172000"/>
    <n v="20"/>
    <s v="Completed"/>
    <s v="Rohit Sharma"/>
    <s v="Cheque"/>
    <n v="12"/>
    <n v="48.86"/>
    <n v="176000"/>
    <s v="North"/>
    <x v="5"/>
    <x v="5"/>
  </r>
  <r>
    <s v="ORD1197"/>
    <d v="2024-08-27T00:00:00"/>
    <s v="C018"/>
    <s v="ERP Implementation"/>
    <s v="Software License"/>
    <n v="5"/>
    <n v="1100000"/>
    <n v="450000"/>
    <n v="650000"/>
    <n v="0"/>
    <s v="Completed"/>
    <s v="Sandeep Rao"/>
    <s v="UPI"/>
    <n v="24"/>
    <n v="59.09"/>
    <n v="220000"/>
    <s v="South"/>
    <x v="9"/>
    <x v="9"/>
  </r>
  <r>
    <s v="ORD1198"/>
    <d v="2024-09-26T00:00:00"/>
    <s v="C014"/>
    <s v="Web Portal Development"/>
    <s v="Development"/>
    <n v="1"/>
    <n v="145000"/>
    <n v="60000"/>
    <n v="85000"/>
    <n v="0"/>
    <s v="Completed"/>
    <s v="Priya Nair"/>
    <s v="UPI"/>
    <n v="24"/>
    <n v="58.62"/>
    <n v="145000"/>
    <s v="South"/>
    <x v="7"/>
    <x v="7"/>
  </r>
  <r>
    <s v="ORD1199"/>
    <d v="2024-12-14T00:00:00"/>
    <s v="C005"/>
    <s v="Mobile App Development"/>
    <s v="Development"/>
    <n v="5"/>
    <n v="1000000"/>
    <n v="425000"/>
    <n v="575000"/>
    <n v="0"/>
    <s v="Completed"/>
    <s v="Nikhil Gupta"/>
    <s v="Net Banking"/>
    <n v="3"/>
    <n v="57.5"/>
    <n v="200000"/>
    <s v="West"/>
    <x v="0"/>
    <x v="0"/>
  </r>
  <r>
    <s v="ORD1200"/>
    <d v="2024-03-04T00:00:00"/>
    <s v="C010"/>
    <s v="HR Management System"/>
    <s v="Software License"/>
    <n v="2"/>
    <n v="152000"/>
    <n v="70000"/>
    <n v="82000"/>
    <n v="5"/>
    <s v="Cancelled"/>
    <s v="Deepa Iyer"/>
    <s v="Cheque"/>
    <n v="12"/>
    <n v="53.95"/>
    <n v="76000"/>
    <s v="South"/>
    <x v="5"/>
    <x v="5"/>
  </r>
  <r>
    <s v="ORD1201"/>
    <d v="2024-12-17T00:00:00"/>
    <s v="C018"/>
    <s v="Firewall &amp; Network Security"/>
    <s v="Security Services"/>
    <n v="2"/>
    <n v="85000"/>
    <n v="40000"/>
    <n v="45000"/>
    <n v="15"/>
    <s v="Completed"/>
    <s v="Pooja Singh"/>
    <s v="Net Banking"/>
    <n v="3"/>
    <n v="52.94"/>
    <n v="42500"/>
    <s v="South"/>
    <x v="0"/>
    <x v="0"/>
  </r>
  <r>
    <s v="ORD1202"/>
    <d v="2024-09-14T00:00:00"/>
    <s v="C019"/>
    <s v="Web Portal Development"/>
    <s v="Development"/>
    <n v="2"/>
    <n v="290000"/>
    <n v="120000"/>
    <n v="170000"/>
    <n v="0"/>
    <s v="Cancelled"/>
    <s v="Pooja Singh"/>
    <s v="Net Banking"/>
    <n v="12"/>
    <n v="58.62"/>
    <n v="145000"/>
    <s v="North"/>
    <x v="7"/>
    <x v="7"/>
  </r>
  <r>
    <s v="ORD1203"/>
    <d v="2024-09-30T00:00:00"/>
    <s v="C003"/>
    <s v="Cloud Migration Service"/>
    <s v="Cloud Services"/>
    <n v="5"/>
    <n v="665000"/>
    <n v="300000"/>
    <n v="365000"/>
    <n v="5"/>
    <s v="Cancelled"/>
    <s v="Deepa Iyer"/>
    <s v="Net Banking"/>
    <n v="24"/>
    <n v="54.89"/>
    <n v="133000"/>
    <s v="South"/>
    <x v="7"/>
    <x v="7"/>
  </r>
  <r>
    <s v="ORD1204"/>
    <d v="2024-11-12T00:00:00"/>
    <s v="C016"/>
    <s v="Mobile App Development"/>
    <s v="Development"/>
    <n v="3"/>
    <n v="510000"/>
    <n v="255000"/>
    <n v="255000"/>
    <n v="15"/>
    <s v="Completed"/>
    <s v="Sunita Pillai"/>
    <s v="Credit Card"/>
    <n v="24"/>
    <n v="50"/>
    <n v="170000"/>
    <s v="South"/>
    <x v="2"/>
    <x v="2"/>
  </r>
  <r>
    <s v="ORD1205"/>
    <d v="2024-06-01T00:00:00"/>
    <s v="C023"/>
    <s v="Cloud Migration Service"/>
    <s v="Cloud Services"/>
    <n v="2"/>
    <n v="266000"/>
    <n v="120000"/>
    <n v="146000"/>
    <n v="5"/>
    <s v="Completed"/>
    <s v="Sunita Pillai"/>
    <s v="UPI"/>
    <n v="6"/>
    <n v="54.89"/>
    <n v="133000"/>
    <s v="South"/>
    <x v="6"/>
    <x v="6"/>
  </r>
  <r>
    <s v="ORD1206"/>
    <d v="2024-06-23T00:00:00"/>
    <s v="C011"/>
    <s v="Business Intelligence Report"/>
    <s v="Analytics"/>
    <n v="3"/>
    <n v="185250"/>
    <n v="84000"/>
    <n v="101250"/>
    <n v="5"/>
    <s v="Completed"/>
    <s v="Kavita Joshi"/>
    <s v="Net Banking"/>
    <n v="3"/>
    <n v="54.66"/>
    <n v="61750"/>
    <s v="South"/>
    <x v="6"/>
    <x v="6"/>
  </r>
  <r>
    <s v="ORD1207"/>
    <d v="2024-10-12T00:00:00"/>
    <s v="C009"/>
    <s v="IT Support &amp; Maintenance"/>
    <s v="IT Support"/>
    <n v="2"/>
    <n v="70000"/>
    <n v="30000"/>
    <n v="40000"/>
    <n v="0"/>
    <s v="Completed"/>
    <s v="Rohit Sharma"/>
    <s v="Cheque"/>
    <n v="24"/>
    <n v="57.14"/>
    <n v="35000"/>
    <s v="South"/>
    <x v="1"/>
    <x v="1"/>
  </r>
  <r>
    <s v="ORD1208"/>
    <d v="2024-11-11T00:00:00"/>
    <s v="C028"/>
    <s v="HR Management System"/>
    <s v="Software License"/>
    <n v="3"/>
    <n v="216000"/>
    <n v="105000"/>
    <n v="111000"/>
    <n v="10"/>
    <s v="Cancelled"/>
    <s v="Kavita Joshi"/>
    <s v="Credit Card"/>
    <n v="6"/>
    <n v="51.39"/>
    <n v="72000"/>
    <s v="South"/>
    <x v="2"/>
    <x v="2"/>
  </r>
  <r>
    <s v="ORD1209"/>
    <d v="2024-09-12T00:00:00"/>
    <s v="C015"/>
    <s v="Annual AMC Contract"/>
    <s v="IT Support"/>
    <n v="3"/>
    <n v="119700"/>
    <n v="54000"/>
    <n v="65700"/>
    <n v="5"/>
    <s v="Completed"/>
    <s v="Priya Nair"/>
    <s v="UPI"/>
    <n v="24"/>
    <n v="54.89"/>
    <n v="39900"/>
    <s v="West"/>
    <x v="7"/>
    <x v="7"/>
  </r>
  <r>
    <s v="ORD1210"/>
    <d v="2024-11-11T00:00:00"/>
    <s v="C002"/>
    <s v="Cloud Migration Service"/>
    <s v="Cloud Services"/>
    <n v="3"/>
    <n v="399000"/>
    <n v="180000"/>
    <n v="219000"/>
    <n v="5"/>
    <s v="In Progress"/>
    <s v="Sunita Pillai"/>
    <s v="Cheque"/>
    <n v="3"/>
    <n v="54.89"/>
    <n v="133000"/>
    <s v="West"/>
    <x v="2"/>
    <x v="2"/>
  </r>
  <r>
    <s v="ORD1211"/>
    <d v="2024-02-25T00:00:00"/>
    <s v="C029"/>
    <s v="Firewall &amp; Network Security"/>
    <s v="Security Services"/>
    <n v="3"/>
    <n v="120000"/>
    <n v="60000"/>
    <n v="60000"/>
    <n v="20"/>
    <s v="Completed"/>
    <s v="Kavita Joshi"/>
    <s v="Bank Transfer"/>
    <n v="24"/>
    <n v="50"/>
    <n v="40000"/>
    <s v="South"/>
    <x v="11"/>
    <x v="11"/>
  </r>
  <r>
    <s v="ORD1212"/>
    <d v="2024-01-27T00:00:00"/>
    <s v="C007"/>
    <s v="AI/ML Model Development"/>
    <s v="AI &amp; Automation"/>
    <n v="5"/>
    <n v="1330000"/>
    <n v="600000"/>
    <n v="730000"/>
    <n v="5"/>
    <s v="Completed"/>
    <s v="Nikhil Gupta"/>
    <s v="Net Banking"/>
    <n v="24"/>
    <n v="54.89"/>
    <n v="266000"/>
    <s v="West"/>
    <x v="8"/>
    <x v="8"/>
  </r>
  <r>
    <s v="ORD1213"/>
    <d v="2024-12-15T00:00:00"/>
    <s v="C022"/>
    <s v="API Integration Service"/>
    <s v="Development"/>
    <n v="1"/>
    <n v="88000"/>
    <n v="38000"/>
    <n v="50000"/>
    <n v="0"/>
    <s v="Completed"/>
    <s v="Nikhil Gupta"/>
    <s v="Cheque"/>
    <n v="12"/>
    <n v="56.82"/>
    <n v="88000"/>
    <s v="South"/>
    <x v="0"/>
    <x v="0"/>
  </r>
  <r>
    <s v="ORD1214"/>
    <d v="2024-10-12T00:00:00"/>
    <s v="C025"/>
    <s v="ERP Implementation"/>
    <s v="Software License"/>
    <n v="2"/>
    <n v="396000"/>
    <n v="180000"/>
    <n v="216000"/>
    <n v="10"/>
    <s v="In Progress"/>
    <s v="Nikhil Gupta"/>
    <s v="Net Banking"/>
    <n v="3"/>
    <n v="54.55"/>
    <n v="198000"/>
    <s v="North"/>
    <x v="1"/>
    <x v="1"/>
  </r>
  <r>
    <s v="ORD1215"/>
    <d v="2024-12-27T00:00:00"/>
    <s v="C011"/>
    <s v="Annual AMC Contract"/>
    <s v="IT Support"/>
    <n v="5"/>
    <n v="199500"/>
    <n v="90000"/>
    <n v="109500"/>
    <n v="5"/>
    <s v="Completed"/>
    <s v="Pooja Singh"/>
    <s v="Net Banking"/>
    <n v="6"/>
    <n v="54.89"/>
    <n v="39900"/>
    <s v="South"/>
    <x v="0"/>
    <x v="0"/>
  </r>
  <r>
    <s v="ORD1216"/>
    <d v="2024-06-16T00:00:00"/>
    <s v="C011"/>
    <s v="HR Management System"/>
    <s v="Software License"/>
    <n v="4"/>
    <n v="288000"/>
    <n v="140000"/>
    <n v="148000"/>
    <n v="10"/>
    <s v="Cancelled"/>
    <s v="Sandeep Rao"/>
    <s v="Net Banking"/>
    <n v="12"/>
    <n v="51.39"/>
    <n v="72000"/>
    <s v="South"/>
    <x v="6"/>
    <x v="6"/>
  </r>
  <r>
    <s v="ORD1217"/>
    <d v="2024-09-16T00:00:00"/>
    <s v="C018"/>
    <s v="Annual AMC Contract"/>
    <s v="IT Support"/>
    <n v="5"/>
    <n v="199500"/>
    <n v="90000"/>
    <n v="109500"/>
    <n v="5"/>
    <s v="Completed"/>
    <s v="Rohit Sharma"/>
    <s v="Cheque"/>
    <n v="12"/>
    <n v="54.89"/>
    <n v="39900"/>
    <s v="South"/>
    <x v="7"/>
    <x v="7"/>
  </r>
  <r>
    <s v="ORD1218"/>
    <d v="2024-11-19T00:00:00"/>
    <s v="C019"/>
    <s v="Data Analytics Dashboard"/>
    <s v="Analytics"/>
    <n v="1"/>
    <n v="90000"/>
    <n v="45000"/>
    <n v="45000"/>
    <n v="10"/>
    <s v="Completed"/>
    <s v="Sandeep Rao"/>
    <s v="Net Banking"/>
    <n v="6"/>
    <n v="50"/>
    <n v="90000"/>
    <s v="North"/>
    <x v="2"/>
    <x v="2"/>
  </r>
  <r>
    <s v="ORD1219"/>
    <d v="2024-01-27T00:00:00"/>
    <s v="C006"/>
    <s v="Network Setup &amp; Config"/>
    <s v="IT Support"/>
    <n v="5"/>
    <n v="208000"/>
    <n v="110000"/>
    <n v="98000"/>
    <n v="20"/>
    <s v="Completed"/>
    <s v="Amit Verma"/>
    <s v="Credit Card"/>
    <n v="3"/>
    <n v="47.12"/>
    <n v="41600"/>
    <s v="West"/>
    <x v="8"/>
    <x v="8"/>
  </r>
  <r>
    <s v="ORD1220"/>
    <d v="2024-10-20T00:00:00"/>
    <s v="C004"/>
    <s v="Cybersecurity Audit"/>
    <s v="Security Services"/>
    <n v="1"/>
    <n v="57000"/>
    <n v="25000"/>
    <n v="32000"/>
    <n v="5"/>
    <s v="Completed"/>
    <s v="Nikhil Gupta"/>
    <s v="Credit Card"/>
    <n v="24"/>
    <n v="56.14"/>
    <n v="57000"/>
    <s v="North"/>
    <x v="1"/>
    <x v="1"/>
  </r>
  <r>
    <s v="ORD1221"/>
    <d v="2024-11-30T00:00:00"/>
    <s v="C025"/>
    <s v="API Integration Service"/>
    <s v="Development"/>
    <n v="4"/>
    <n v="281600"/>
    <n v="152000"/>
    <n v="129600"/>
    <n v="20"/>
    <s v="Cancelled"/>
    <s v="Rohit Sharma"/>
    <s v="Credit Card"/>
    <n v="6"/>
    <n v="46.02"/>
    <n v="70400"/>
    <s v="North"/>
    <x v="2"/>
    <x v="2"/>
  </r>
  <r>
    <s v="ORD1222"/>
    <d v="2024-10-14T00:00:00"/>
    <s v="C022"/>
    <s v="Annual AMC Contract"/>
    <s v="IT Support"/>
    <n v="5"/>
    <n v="199500"/>
    <n v="90000"/>
    <n v="109500"/>
    <n v="5"/>
    <s v="Completed"/>
    <s v="Amit Verma"/>
    <s v="UPI"/>
    <n v="12"/>
    <n v="54.89"/>
    <n v="39900"/>
    <s v="South"/>
    <x v="1"/>
    <x v="1"/>
  </r>
  <r>
    <s v="ORD1223"/>
    <d v="2024-10-06T00:00:00"/>
    <s v="C025"/>
    <s v="Firewall &amp; Network Security"/>
    <s v="Security Services"/>
    <n v="5"/>
    <n v="237500"/>
    <n v="100000"/>
    <n v="137500"/>
    <n v="5"/>
    <s v="Completed"/>
    <s v="Deepa Iyer"/>
    <s v="Cheque"/>
    <n v="12"/>
    <n v="57.89"/>
    <n v="47500"/>
    <s v="North"/>
    <x v="1"/>
    <x v="1"/>
  </r>
  <r>
    <s v="ORD1224"/>
    <d v="2024-04-25T00:00:00"/>
    <s v="C010"/>
    <s v="Data Analytics Dashboard"/>
    <s v="Analytics"/>
    <n v="2"/>
    <n v="170000"/>
    <n v="90000"/>
    <n v="80000"/>
    <n v="15"/>
    <s v="Cancelled"/>
    <s v="Sunita Pillai"/>
    <s v="Cheque"/>
    <n v="24"/>
    <n v="47.06"/>
    <n v="85000"/>
    <s v="South"/>
    <x v="10"/>
    <x v="10"/>
  </r>
  <r>
    <s v="ORD1225"/>
    <d v="2024-06-27T00:00:00"/>
    <s v="C030"/>
    <s v="Firewall &amp; Network Security"/>
    <s v="Security Services"/>
    <n v="3"/>
    <n v="150000"/>
    <n v="60000"/>
    <n v="90000"/>
    <n v="0"/>
    <s v="In Progress"/>
    <s v="Arjun Mehta"/>
    <s v="UPI"/>
    <n v="24"/>
    <n v="60"/>
    <n v="50000"/>
    <s v="North"/>
    <x v="6"/>
    <x v="6"/>
  </r>
  <r>
    <s v="ORD1226"/>
    <d v="2024-06-25T00:00:00"/>
    <s v="C026"/>
    <s v="ERP Implementation"/>
    <s v="Software License"/>
    <n v="3"/>
    <n v="660000"/>
    <n v="270000"/>
    <n v="390000"/>
    <n v="0"/>
    <s v="Completed"/>
    <s v="Priya Nair"/>
    <s v="Cheque"/>
    <n v="24"/>
    <n v="59.09"/>
    <n v="220000"/>
    <s v="North"/>
    <x v="6"/>
    <x v="6"/>
  </r>
  <r>
    <s v="ORD1227"/>
    <d v="2024-11-27T00:00:00"/>
    <s v="C007"/>
    <s v="Cybersecurity Audit"/>
    <s v="Security Services"/>
    <n v="5"/>
    <n v="285000"/>
    <n v="125000"/>
    <n v="160000"/>
    <n v="5"/>
    <s v="In Progress"/>
    <s v="Sandeep Rao"/>
    <s v="Credit Card"/>
    <n v="3"/>
    <n v="56.14"/>
    <n v="57000"/>
    <s v="West"/>
    <x v="2"/>
    <x v="2"/>
  </r>
  <r>
    <s v="ORD1228"/>
    <d v="2024-11-11T00:00:00"/>
    <s v="C008"/>
    <s v="Penetration Testing"/>
    <s v="Security Services"/>
    <n v="1"/>
    <n v="59500"/>
    <n v="30000"/>
    <n v="29500"/>
    <n v="15"/>
    <s v="In Progress"/>
    <s v="Deepa Iyer"/>
    <s v="Credit Card"/>
    <n v="3"/>
    <n v="49.58"/>
    <n v="59500"/>
    <s v="North"/>
    <x v="2"/>
    <x v="2"/>
  </r>
  <r>
    <s v="ORD1229"/>
    <d v="2024-02-21T00:00:00"/>
    <s v="C023"/>
    <s v="Annual AMC Contract"/>
    <s v="IT Support"/>
    <n v="1"/>
    <n v="35700"/>
    <n v="18000"/>
    <n v="17700"/>
    <n v="15"/>
    <s v="Completed"/>
    <s v="Rohit Sharma"/>
    <s v="Net Banking"/>
    <n v="6"/>
    <n v="49.58"/>
    <n v="35700"/>
    <s v="South"/>
    <x v="11"/>
    <x v="11"/>
  </r>
  <r>
    <s v="ORD1230"/>
    <d v="2024-07-27T00:00:00"/>
    <s v="C029"/>
    <s v="Annual AMC Contract"/>
    <s v="IT Support"/>
    <n v="4"/>
    <n v="142800"/>
    <n v="72000"/>
    <n v="70800"/>
    <n v="15"/>
    <s v="Completed"/>
    <s v="Sandeep Rao"/>
    <s v="Cheque"/>
    <n v="12"/>
    <n v="49.58"/>
    <n v="35700"/>
    <s v="South"/>
    <x v="4"/>
    <x v="4"/>
  </r>
  <r>
    <s v="ORD1231"/>
    <d v="2024-10-08T00:00:00"/>
    <s v="C021"/>
    <s v="Web Portal Development"/>
    <s v="Development"/>
    <n v="2"/>
    <n v="261000"/>
    <n v="120000"/>
    <n v="141000"/>
    <n v="10"/>
    <s v="Cancelled"/>
    <s v="Rohit Sharma"/>
    <s v="Credit Card"/>
    <n v="24"/>
    <n v="54.02"/>
    <n v="130500"/>
    <s v="West"/>
    <x v="1"/>
    <x v="1"/>
  </r>
  <r>
    <s v="ORD1232"/>
    <d v="2024-03-31T00:00:00"/>
    <s v="C002"/>
    <s v="Chatbot Development"/>
    <s v="AI &amp; Automation"/>
    <n v="4"/>
    <n v="520000"/>
    <n v="220000"/>
    <n v="300000"/>
    <n v="0"/>
    <s v="Cancelled"/>
    <s v="Sandeep Rao"/>
    <s v="Bank Transfer"/>
    <n v="3"/>
    <n v="57.69"/>
    <n v="130000"/>
    <s v="West"/>
    <x v="5"/>
    <x v="5"/>
  </r>
  <r>
    <s v="ORD1233"/>
    <d v="2024-06-01T00:00:00"/>
    <s v="C004"/>
    <s v="Business Intelligence Report"/>
    <s v="Analytics"/>
    <n v="3"/>
    <n v="185250"/>
    <n v="84000"/>
    <n v="101250"/>
    <n v="5"/>
    <s v="Cancelled"/>
    <s v="Arjun Mehta"/>
    <s v="Net Banking"/>
    <n v="24"/>
    <n v="54.66"/>
    <n v="61750"/>
    <s v="North"/>
    <x v="6"/>
    <x v="6"/>
  </r>
  <r>
    <s v="ORD1234"/>
    <d v="2024-03-09T00:00:00"/>
    <s v="C015"/>
    <s v="Firewall &amp; Network Security"/>
    <s v="Security Services"/>
    <n v="2"/>
    <n v="80000"/>
    <n v="40000"/>
    <n v="40000"/>
    <n v="20"/>
    <s v="Completed"/>
    <s v="Kavita Joshi"/>
    <s v="Credit Card"/>
    <n v="24"/>
    <n v="50"/>
    <n v="40000"/>
    <s v="West"/>
    <x v="5"/>
    <x v="5"/>
  </r>
  <r>
    <s v="ORD1235"/>
    <d v="2024-10-20T00:00:00"/>
    <s v="C001"/>
    <s v="Business Intelligence Report"/>
    <s v="Analytics"/>
    <n v="3"/>
    <n v="175500"/>
    <n v="84000"/>
    <n v="91500"/>
    <n v="10"/>
    <s v="Cancelled"/>
    <s v="Deepa Iyer"/>
    <s v="Credit Card"/>
    <n v="24"/>
    <n v="52.14"/>
    <n v="58500"/>
    <s v="South"/>
    <x v="1"/>
    <x v="1"/>
  </r>
  <r>
    <s v="ORD1236"/>
    <d v="2024-08-06T00:00:00"/>
    <s v="C003"/>
    <s v="Chatbot Development"/>
    <s v="AI &amp; Automation"/>
    <n v="1"/>
    <n v="130000"/>
    <n v="55000"/>
    <n v="75000"/>
    <n v="0"/>
    <s v="Completed"/>
    <s v="Sunita Pillai"/>
    <s v="Cheque"/>
    <n v="6"/>
    <n v="57.69"/>
    <n v="130000"/>
    <s v="South"/>
    <x v="9"/>
    <x v="9"/>
  </r>
  <r>
    <s v="ORD1237"/>
    <d v="2024-10-27T00:00:00"/>
    <s v="C015"/>
    <s v="Firewall &amp; Network Security"/>
    <s v="Security Services"/>
    <n v="3"/>
    <n v="142500"/>
    <n v="60000"/>
    <n v="82500"/>
    <n v="5"/>
    <s v="In Progress"/>
    <s v="Pooja Singh"/>
    <s v="Bank Transfer"/>
    <n v="12"/>
    <n v="57.89"/>
    <n v="47500"/>
    <s v="West"/>
    <x v="1"/>
    <x v="1"/>
  </r>
  <r>
    <s v="ORD1238"/>
    <d v="2024-11-30T00:00:00"/>
    <s v="C008"/>
    <s v="Cloud Migration Service"/>
    <s v="Cloud Services"/>
    <n v="1"/>
    <n v="133000"/>
    <n v="60000"/>
    <n v="73000"/>
    <n v="5"/>
    <s v="Completed"/>
    <s v="Amit Verma"/>
    <s v="UPI"/>
    <n v="12"/>
    <n v="54.89"/>
    <n v="133000"/>
    <s v="North"/>
    <x v="2"/>
    <x v="2"/>
  </r>
  <r>
    <s v="ORD1239"/>
    <d v="2024-11-03T00:00:00"/>
    <s v="C012"/>
    <s v="API Integration Service"/>
    <s v="Development"/>
    <n v="2"/>
    <n v="176000"/>
    <n v="76000"/>
    <n v="100000"/>
    <n v="0"/>
    <s v="Completed"/>
    <s v="Sunita Pillai"/>
    <s v="Credit Card"/>
    <n v="24"/>
    <n v="56.82"/>
    <n v="88000"/>
    <s v="North"/>
    <x v="2"/>
    <x v="2"/>
  </r>
  <r>
    <s v="ORD1240"/>
    <d v="2024-11-06T00:00:00"/>
    <s v="C023"/>
    <s v="Mobile App Development"/>
    <s v="Development"/>
    <n v="4"/>
    <n v="640000"/>
    <n v="340000"/>
    <n v="300000"/>
    <n v="20"/>
    <s v="In Progress"/>
    <s v="Deepa Iyer"/>
    <s v="Credit Card"/>
    <n v="3"/>
    <n v="46.88"/>
    <n v="160000"/>
    <s v="South"/>
    <x v="2"/>
    <x v="2"/>
  </r>
  <r>
    <s v="ORD1241"/>
    <d v="2024-09-26T00:00:00"/>
    <s v="C023"/>
    <s v="AI/ML Model Development"/>
    <s v="AI &amp; Automation"/>
    <n v="1"/>
    <n v="252000"/>
    <n v="120000"/>
    <n v="132000"/>
    <n v="10"/>
    <s v="Completed"/>
    <s v="Rohit Sharma"/>
    <s v="Net Banking"/>
    <n v="6"/>
    <n v="52.38"/>
    <n v="252000"/>
    <s v="South"/>
    <x v="7"/>
    <x v="7"/>
  </r>
  <r>
    <s v="ORD1242"/>
    <d v="2024-10-20T00:00:00"/>
    <s v="C006"/>
    <s v="Business Intelligence Report"/>
    <s v="Analytics"/>
    <n v="5"/>
    <n v="308750"/>
    <n v="140000"/>
    <n v="168750"/>
    <n v="5"/>
    <s v="Completed"/>
    <s v="Deepa Iyer"/>
    <s v="Net Banking"/>
    <n v="24"/>
    <n v="54.66"/>
    <n v="61750"/>
    <s v="West"/>
    <x v="1"/>
    <x v="1"/>
  </r>
  <r>
    <s v="ORD1243"/>
    <d v="2024-02-16T00:00:00"/>
    <s v="C015"/>
    <s v="Cloud Migration Service"/>
    <s v="Cloud Services"/>
    <n v="4"/>
    <n v="560000"/>
    <n v="240000"/>
    <n v="320000"/>
    <n v="0"/>
    <s v="In Progress"/>
    <s v="Nikhil Gupta"/>
    <s v="UPI"/>
    <n v="3"/>
    <n v="57.14"/>
    <n v="140000"/>
    <s v="West"/>
    <x v="11"/>
    <x v="11"/>
  </r>
  <r>
    <s v="ORD1244"/>
    <d v="2024-10-13T00:00:00"/>
    <s v="C026"/>
    <s v="Data Analytics Dashboard"/>
    <s v="Analytics"/>
    <n v="1"/>
    <n v="95000"/>
    <n v="45000"/>
    <n v="50000"/>
    <n v="5"/>
    <s v="Completed"/>
    <s v="Rohit Sharma"/>
    <s v="Credit Card"/>
    <n v="3"/>
    <n v="52.63"/>
    <n v="95000"/>
    <s v="North"/>
    <x v="1"/>
    <x v="1"/>
  </r>
  <r>
    <s v="ORD1245"/>
    <d v="2024-01-24T00:00:00"/>
    <s v="C023"/>
    <s v="AWS Management Package"/>
    <s v="Cloud Services"/>
    <n v="5"/>
    <n v="600000"/>
    <n v="250000"/>
    <n v="350000"/>
    <n v="0"/>
    <s v="Completed"/>
    <s v="Sunita Pillai"/>
    <s v="Bank Transfer"/>
    <n v="12"/>
    <n v="58.33"/>
    <n v="120000"/>
    <s v="South"/>
    <x v="8"/>
    <x v="8"/>
  </r>
  <r>
    <s v="ORD1246"/>
    <d v="2024-10-14T00:00:00"/>
    <s v="C025"/>
    <s v="RPA Implementation"/>
    <s v="AI &amp; Automation"/>
    <n v="3"/>
    <n v="456000"/>
    <n v="210000"/>
    <n v="246000"/>
    <n v="5"/>
    <s v="Completed"/>
    <s v="Nikhil Gupta"/>
    <s v="UPI"/>
    <n v="3"/>
    <n v="53.95"/>
    <n v="152000"/>
    <s v="North"/>
    <x v="1"/>
    <x v="1"/>
  </r>
  <r>
    <s v="ORD1247"/>
    <d v="2024-12-15T00:00:00"/>
    <s v="C028"/>
    <s v="Mobile App Development"/>
    <s v="Development"/>
    <n v="2"/>
    <n v="340000"/>
    <n v="170000"/>
    <n v="170000"/>
    <n v="15"/>
    <s v="Completed"/>
    <s v="Priya Nair"/>
    <s v="Credit Card"/>
    <n v="24"/>
    <n v="50"/>
    <n v="170000"/>
    <s v="South"/>
    <x v="0"/>
    <x v="0"/>
  </r>
  <r>
    <s v="ORD1248"/>
    <d v="2024-10-25T00:00:00"/>
    <s v="C027"/>
    <s v="Cloud Infrastructure Setup"/>
    <s v="Cloud Services"/>
    <n v="1"/>
    <n v="171000"/>
    <n v="80000"/>
    <n v="91000"/>
    <n v="5"/>
    <s v="Completed"/>
    <s v="Arjun Mehta"/>
    <s v="UPI"/>
    <n v="24"/>
    <n v="53.22"/>
    <n v="171000"/>
    <s v="North"/>
    <x v="1"/>
    <x v="1"/>
  </r>
  <r>
    <s v="ORD1249"/>
    <d v="2024-11-10T00:00:00"/>
    <s v="C005"/>
    <s v="Firewall &amp; Network Security"/>
    <s v="Security Services"/>
    <n v="2"/>
    <n v="85000"/>
    <n v="40000"/>
    <n v="45000"/>
    <n v="15"/>
    <s v="Completed"/>
    <s v="Rohit Sharma"/>
    <s v="UPI"/>
    <n v="3"/>
    <n v="52.94"/>
    <n v="42500"/>
    <s v="West"/>
    <x v="2"/>
    <x v="2"/>
  </r>
  <r>
    <s v="ORD1250"/>
    <d v="2024-10-09T00:00:00"/>
    <s v="C020"/>
    <s v="Cloud Migration Service"/>
    <s v="Cloud Services"/>
    <n v="4"/>
    <n v="504000"/>
    <n v="240000"/>
    <n v="264000"/>
    <n v="10"/>
    <s v="Cancelled"/>
    <s v="Rohit Sharma"/>
    <s v="Credit Card"/>
    <n v="3"/>
    <n v="52.38"/>
    <n v="126000"/>
    <s v="North"/>
    <x v="1"/>
    <x v="1"/>
  </r>
  <r>
    <s v="ORD1251"/>
    <d v="2024-07-24T00:00:00"/>
    <s v="C018"/>
    <s v="Cybersecurity Audit"/>
    <s v="Security Services"/>
    <n v="1"/>
    <n v="60000"/>
    <n v="25000"/>
    <n v="35000"/>
    <n v="0"/>
    <s v="In Progress"/>
    <s v="Sandeep Rao"/>
    <s v="Credit Card"/>
    <n v="12"/>
    <n v="58.33"/>
    <n v="60000"/>
    <s v="South"/>
    <x v="4"/>
    <x v="4"/>
  </r>
  <r>
    <s v="ORD1252"/>
    <d v="2024-10-22T00:00:00"/>
    <s v="C022"/>
    <s v="Business Intelligence Report"/>
    <s v="Analytics"/>
    <n v="2"/>
    <n v="123500"/>
    <n v="56000"/>
    <n v="67500"/>
    <n v="5"/>
    <s v="Completed"/>
    <s v="Arjun Mehta"/>
    <s v="Credit Card"/>
    <n v="24"/>
    <n v="54.66"/>
    <n v="61750"/>
    <s v="South"/>
    <x v="1"/>
    <x v="1"/>
  </r>
  <r>
    <s v="ORD1253"/>
    <d v="2024-12-07T00:00:00"/>
    <s v="C019"/>
    <s v="HR Management System"/>
    <s v="Software License"/>
    <n v="4"/>
    <n v="288000"/>
    <n v="140000"/>
    <n v="148000"/>
    <n v="10"/>
    <s v="Completed"/>
    <s v="Rohit Sharma"/>
    <s v="Cheque"/>
    <n v="24"/>
    <n v="51.39"/>
    <n v="72000"/>
    <s v="North"/>
    <x v="0"/>
    <x v="0"/>
  </r>
  <r>
    <s v="ORD1254"/>
    <d v="2024-09-25T00:00:00"/>
    <s v="C014"/>
    <s v="RPA Implementation"/>
    <s v="AI &amp; Automation"/>
    <n v="2"/>
    <n v="304000"/>
    <n v="140000"/>
    <n v="164000"/>
    <n v="5"/>
    <s v="Completed"/>
    <s v="Amit Verma"/>
    <s v="Net Banking"/>
    <n v="24"/>
    <n v="53.95"/>
    <n v="152000"/>
    <s v="South"/>
    <x v="7"/>
    <x v="7"/>
  </r>
  <r>
    <s v="ORD1255"/>
    <d v="2024-05-03T00:00:00"/>
    <s v="C010"/>
    <s v="ERP Implementation"/>
    <s v="Software License"/>
    <n v="4"/>
    <n v="880000"/>
    <n v="360000"/>
    <n v="520000"/>
    <n v="0"/>
    <s v="In Progress"/>
    <s v="Nikhil Gupta"/>
    <s v="UPI"/>
    <n v="6"/>
    <n v="59.09"/>
    <n v="220000"/>
    <s v="South"/>
    <x v="3"/>
    <x v="3"/>
  </r>
  <r>
    <s v="ORD1256"/>
    <d v="2024-10-23T00:00:00"/>
    <s v="C011"/>
    <s v="AWS Management Package"/>
    <s v="Cloud Services"/>
    <n v="4"/>
    <n v="384000"/>
    <n v="200000"/>
    <n v="184000"/>
    <n v="20"/>
    <s v="Completed"/>
    <s v="Priya Nair"/>
    <s v="Net Banking"/>
    <n v="6"/>
    <n v="47.92"/>
    <n v="96000"/>
    <s v="South"/>
    <x v="1"/>
    <x v="1"/>
  </r>
  <r>
    <s v="ORD1257"/>
    <d v="2024-12-22T00:00:00"/>
    <s v="C020"/>
    <s v="API Integration Service"/>
    <s v="Development"/>
    <n v="1"/>
    <n v="70400"/>
    <n v="38000"/>
    <n v="32400"/>
    <n v="20"/>
    <s v="Completed"/>
    <s v="Deepa Iyer"/>
    <s v="Net Banking"/>
    <n v="6"/>
    <n v="46.02"/>
    <n v="70400"/>
    <s v="North"/>
    <x v="0"/>
    <x v="0"/>
  </r>
  <r>
    <s v="ORD1258"/>
    <d v="2024-11-08T00:00:00"/>
    <s v="C010"/>
    <s v="Cloud Infrastructure Setup"/>
    <s v="Cloud Services"/>
    <n v="2"/>
    <n v="360000"/>
    <n v="160000"/>
    <n v="200000"/>
    <n v="0"/>
    <s v="Cancelled"/>
    <s v="Priya Nair"/>
    <s v="UPI"/>
    <n v="6"/>
    <n v="55.56"/>
    <n v="180000"/>
    <s v="South"/>
    <x v="2"/>
    <x v="2"/>
  </r>
  <r>
    <s v="ORD1259"/>
    <d v="2024-12-22T00:00:00"/>
    <s v="C007"/>
    <s v="Chatbot Development"/>
    <s v="AI &amp; Automation"/>
    <n v="2"/>
    <n v="234000"/>
    <n v="110000"/>
    <n v="124000"/>
    <n v="10"/>
    <s v="Completed"/>
    <s v="Sandeep Rao"/>
    <s v="UPI"/>
    <n v="24"/>
    <n v="52.99"/>
    <n v="117000"/>
    <s v="West"/>
    <x v="0"/>
    <x v="0"/>
  </r>
  <r>
    <s v="ORD1260"/>
    <d v="2024-09-30T00:00:00"/>
    <s v="C010"/>
    <s v="Firewall &amp; Network Security"/>
    <s v="Security Services"/>
    <n v="3"/>
    <n v="135000"/>
    <n v="60000"/>
    <n v="75000"/>
    <n v="10"/>
    <s v="Completed"/>
    <s v="Sunita Pillai"/>
    <s v="Bank Transfer"/>
    <n v="24"/>
    <n v="55.56"/>
    <n v="45000"/>
    <s v="South"/>
    <x v="7"/>
    <x v="7"/>
  </r>
  <r>
    <s v="ORD1261"/>
    <d v="2024-06-12T00:00:00"/>
    <s v="C012"/>
    <s v="Business Intelligence Report"/>
    <s v="Analytics"/>
    <n v="4"/>
    <n v="260000"/>
    <n v="112000"/>
    <n v="148000"/>
    <n v="0"/>
    <s v="In Progress"/>
    <s v="Deepa Iyer"/>
    <s v="Credit Card"/>
    <n v="3"/>
    <n v="56.92"/>
    <n v="65000"/>
    <s v="North"/>
    <x v="6"/>
    <x v="6"/>
  </r>
  <r>
    <s v="ORD1262"/>
    <d v="2024-05-13T00:00:00"/>
    <s v="C019"/>
    <s v="Web Portal Development"/>
    <s v="Development"/>
    <n v="4"/>
    <n v="551000"/>
    <n v="240000"/>
    <n v="311000"/>
    <n v="5"/>
    <s v="Completed"/>
    <s v="Deepa Iyer"/>
    <s v="Cheque"/>
    <n v="6"/>
    <n v="56.44"/>
    <n v="137750"/>
    <s v="North"/>
    <x v="3"/>
    <x v="3"/>
  </r>
  <r>
    <s v="ORD1263"/>
    <d v="2024-07-13T00:00:00"/>
    <s v="C008"/>
    <s v="Annual AMC Contract"/>
    <s v="IT Support"/>
    <n v="5"/>
    <n v="178500"/>
    <n v="90000"/>
    <n v="88500"/>
    <n v="15"/>
    <s v="Cancelled"/>
    <s v="Kavita Joshi"/>
    <s v="Cheque"/>
    <n v="24"/>
    <n v="49.58"/>
    <n v="35700"/>
    <s v="North"/>
    <x v="4"/>
    <x v="4"/>
  </r>
  <r>
    <s v="ORD1264"/>
    <d v="2024-11-24T00:00:00"/>
    <s v="C015"/>
    <s v="HR Management System"/>
    <s v="Software License"/>
    <n v="3"/>
    <n v="240000"/>
    <n v="105000"/>
    <n v="135000"/>
    <n v="0"/>
    <s v="Completed"/>
    <s v="Arjun Mehta"/>
    <s v="UPI"/>
    <n v="6"/>
    <n v="56.25"/>
    <n v="80000"/>
    <s v="West"/>
    <x v="2"/>
    <x v="2"/>
  </r>
  <r>
    <s v="ORD1265"/>
    <d v="2024-10-04T00:00:00"/>
    <s v="C002"/>
    <s v="Network Setup &amp; Config"/>
    <s v="IT Support"/>
    <n v="1"/>
    <n v="41600"/>
    <n v="22000"/>
    <n v="19600"/>
    <n v="20"/>
    <s v="Completed"/>
    <s v="Rohit Sharma"/>
    <s v="Bank Transfer"/>
    <n v="24"/>
    <n v="47.12"/>
    <n v="41600"/>
    <s v="West"/>
    <x v="1"/>
    <x v="1"/>
  </r>
  <r>
    <s v="ORD1266"/>
    <d v="2024-03-11T00:00:00"/>
    <s v="C008"/>
    <s v="AWS Management Package"/>
    <s v="Cloud Services"/>
    <n v="2"/>
    <n v="240000"/>
    <n v="100000"/>
    <n v="140000"/>
    <n v="0"/>
    <s v="Completed"/>
    <s v="Arjun Mehta"/>
    <s v="UPI"/>
    <n v="12"/>
    <n v="58.33"/>
    <n v="120000"/>
    <s v="North"/>
    <x v="5"/>
    <x v="5"/>
  </r>
  <r>
    <s v="ORD1267"/>
    <d v="2024-01-31T00:00:00"/>
    <s v="C022"/>
    <s v="API Integration Service"/>
    <s v="Development"/>
    <n v="4"/>
    <n v="299200"/>
    <n v="152000"/>
    <n v="147200"/>
    <n v="15"/>
    <s v="Completed"/>
    <s v="Rohit Sharma"/>
    <s v="Bank Transfer"/>
    <n v="24"/>
    <n v="49.2"/>
    <n v="74800"/>
    <s v="South"/>
    <x v="8"/>
    <x v="8"/>
  </r>
  <r>
    <s v="ORD1268"/>
    <d v="2024-12-28T00:00:00"/>
    <s v="C009"/>
    <s v="Mobile App Development"/>
    <s v="Development"/>
    <n v="3"/>
    <n v="600000"/>
    <n v="255000"/>
    <n v="345000"/>
    <n v="0"/>
    <s v="In Progress"/>
    <s v="Nikhil Gupta"/>
    <s v="Credit Card"/>
    <n v="3"/>
    <n v="57.5"/>
    <n v="200000"/>
    <s v="South"/>
    <x v="0"/>
    <x v="0"/>
  </r>
  <r>
    <s v="ORD1269"/>
    <d v="2024-02-19T00:00:00"/>
    <s v="C008"/>
    <s v="Cybersecurity Audit"/>
    <s v="Security Services"/>
    <n v="5"/>
    <n v="270000"/>
    <n v="125000"/>
    <n v="145000"/>
    <n v="10"/>
    <s v="Completed"/>
    <s v="Kavita Joshi"/>
    <s v="Cheque"/>
    <n v="24"/>
    <n v="53.7"/>
    <n v="54000"/>
    <s v="North"/>
    <x v="11"/>
    <x v="11"/>
  </r>
  <r>
    <s v="ORD1270"/>
    <d v="2024-02-10T00:00:00"/>
    <s v="C013"/>
    <s v="IT Support &amp; Maintenance"/>
    <s v="IT Support"/>
    <n v="5"/>
    <n v="175000"/>
    <n v="75000"/>
    <n v="100000"/>
    <n v="0"/>
    <s v="Cancelled"/>
    <s v="Deepa Iyer"/>
    <s v="Cheque"/>
    <n v="3"/>
    <n v="57.14"/>
    <n v="35000"/>
    <s v="North"/>
    <x v="11"/>
    <x v="11"/>
  </r>
  <r>
    <s v="ORD1271"/>
    <d v="2024-11-30T00:00:00"/>
    <s v="C021"/>
    <s v="Cloud Migration Service"/>
    <s v="Cloud Services"/>
    <n v="1"/>
    <n v="133000"/>
    <n v="60000"/>
    <n v="73000"/>
    <n v="5"/>
    <s v="Completed"/>
    <s v="Nikhil Gupta"/>
    <s v="Net Banking"/>
    <n v="24"/>
    <n v="54.89"/>
    <n v="133000"/>
    <s v="West"/>
    <x v="2"/>
    <x v="2"/>
  </r>
  <r>
    <s v="ORD1272"/>
    <d v="2024-01-29T00:00:00"/>
    <s v="C023"/>
    <s v="HR Management System"/>
    <s v="Software License"/>
    <n v="1"/>
    <n v="76000"/>
    <n v="35000"/>
    <n v="41000"/>
    <n v="5"/>
    <s v="Completed"/>
    <s v="Kavita Joshi"/>
    <s v="Net Banking"/>
    <n v="3"/>
    <n v="53.95"/>
    <n v="76000"/>
    <s v="South"/>
    <x v="8"/>
    <x v="8"/>
  </r>
  <r>
    <s v="ORD1273"/>
    <d v="2024-09-27T00:00:00"/>
    <s v="C008"/>
    <s v="Cybersecurity Audit"/>
    <s v="Security Services"/>
    <n v="5"/>
    <n v="285000"/>
    <n v="125000"/>
    <n v="160000"/>
    <n v="5"/>
    <s v="Completed"/>
    <s v="Rohit Sharma"/>
    <s v="Bank Transfer"/>
    <n v="12"/>
    <n v="56.14"/>
    <n v="57000"/>
    <s v="North"/>
    <x v="7"/>
    <x v="7"/>
  </r>
  <r>
    <s v="ORD1274"/>
    <d v="2024-10-05T00:00:00"/>
    <s v="C002"/>
    <s v="HR Management System"/>
    <s v="Software License"/>
    <n v="3"/>
    <n v="240000"/>
    <n v="105000"/>
    <n v="135000"/>
    <n v="0"/>
    <s v="Completed"/>
    <s v="Pooja Singh"/>
    <s v="Credit Card"/>
    <n v="24"/>
    <n v="56.25"/>
    <n v="80000"/>
    <s v="West"/>
    <x v="1"/>
    <x v="1"/>
  </r>
  <r>
    <s v="ORD1275"/>
    <d v="2024-12-08T00:00:00"/>
    <s v="C008"/>
    <s v="Web Portal Development"/>
    <s v="Development"/>
    <n v="4"/>
    <n v="493000"/>
    <n v="240000"/>
    <n v="253000"/>
    <n v="15"/>
    <s v="In Progress"/>
    <s v="Kavita Joshi"/>
    <s v="UPI"/>
    <n v="6"/>
    <n v="51.32"/>
    <n v="123250"/>
    <s v="North"/>
    <x v="0"/>
    <x v="0"/>
  </r>
  <r>
    <s v="ORD1276"/>
    <d v="2024-12-18T00:00:00"/>
    <s v="C017"/>
    <s v="AI/ML Model Development"/>
    <s v="AI &amp; Automation"/>
    <n v="1"/>
    <n v="280000"/>
    <n v="120000"/>
    <n v="160000"/>
    <n v="0"/>
    <s v="Completed"/>
    <s v="Deepa Iyer"/>
    <s v="Bank Transfer"/>
    <n v="12"/>
    <n v="57.14"/>
    <n v="280000"/>
    <s v="South"/>
    <x v="0"/>
    <x v="0"/>
  </r>
  <r>
    <s v="ORD1277"/>
    <d v="2024-11-05T00:00:00"/>
    <s v="C020"/>
    <s v="Chatbot Development"/>
    <s v="AI &amp; Automation"/>
    <n v="3"/>
    <n v="390000"/>
    <n v="165000"/>
    <n v="225000"/>
    <n v="0"/>
    <s v="Cancelled"/>
    <s v="Sandeep Rao"/>
    <s v="UPI"/>
    <n v="24"/>
    <n v="57.69"/>
    <n v="130000"/>
    <s v="North"/>
    <x v="2"/>
    <x v="2"/>
  </r>
  <r>
    <s v="ORD1278"/>
    <d v="2024-04-26T00:00:00"/>
    <s v="C013"/>
    <s v="RPA Implementation"/>
    <s v="AI &amp; Automation"/>
    <n v="2"/>
    <n v="272000"/>
    <n v="140000"/>
    <n v="132000"/>
    <n v="15"/>
    <s v="In Progress"/>
    <s v="Nikhil Gupta"/>
    <s v="Bank Transfer"/>
    <n v="12"/>
    <n v="48.53"/>
    <n v="136000"/>
    <s v="North"/>
    <x v="10"/>
    <x v="10"/>
  </r>
  <r>
    <s v="ORD1279"/>
    <d v="2024-05-06T00:00:00"/>
    <s v="C003"/>
    <s v="Firewall &amp; Network Security"/>
    <s v="Security Services"/>
    <n v="2"/>
    <n v="95000"/>
    <n v="40000"/>
    <n v="55000"/>
    <n v="5"/>
    <s v="Cancelled"/>
    <s v="Amit Verma"/>
    <s v="UPI"/>
    <n v="12"/>
    <n v="57.89"/>
    <n v="47500"/>
    <s v="South"/>
    <x v="3"/>
    <x v="3"/>
  </r>
  <r>
    <s v="ORD1280"/>
    <d v="2024-09-27T00:00:00"/>
    <s v="C010"/>
    <s v="IT Support &amp; Maintenance"/>
    <s v="IT Support"/>
    <n v="3"/>
    <n v="84000"/>
    <n v="45000"/>
    <n v="39000"/>
    <n v="20"/>
    <s v="Completed"/>
    <s v="Priya Nair"/>
    <s v="Credit Card"/>
    <n v="3"/>
    <n v="46.43"/>
    <n v="28000"/>
    <s v="South"/>
    <x v="7"/>
    <x v="7"/>
  </r>
  <r>
    <s v="ORD1281"/>
    <d v="2024-04-05T00:00:00"/>
    <s v="C018"/>
    <s v="Mobile App Development"/>
    <s v="Development"/>
    <n v="5"/>
    <n v="950000"/>
    <n v="425000"/>
    <n v="525000"/>
    <n v="5"/>
    <s v="Completed"/>
    <s v="Rohit Sharma"/>
    <s v="Bank Transfer"/>
    <n v="12"/>
    <n v="55.26"/>
    <n v="190000"/>
    <s v="South"/>
    <x v="10"/>
    <x v="10"/>
  </r>
  <r>
    <s v="ORD1282"/>
    <d v="2024-12-12T00:00:00"/>
    <s v="C026"/>
    <s v="Business Intelligence Report"/>
    <s v="Analytics"/>
    <n v="4"/>
    <n v="260000"/>
    <n v="112000"/>
    <n v="148000"/>
    <n v="0"/>
    <s v="Completed"/>
    <s v="Nikhil Gupta"/>
    <s v="UPI"/>
    <n v="3"/>
    <n v="56.92"/>
    <n v="65000"/>
    <s v="North"/>
    <x v="0"/>
    <x v="0"/>
  </r>
  <r>
    <s v="ORD1283"/>
    <d v="2024-10-13T00:00:00"/>
    <s v="C008"/>
    <s v="Web Portal Development"/>
    <s v="Development"/>
    <n v="5"/>
    <n v="725000"/>
    <n v="300000"/>
    <n v="425000"/>
    <n v="0"/>
    <s v="Cancelled"/>
    <s v="Nikhil Gupta"/>
    <s v="Credit Card"/>
    <n v="6"/>
    <n v="58.62"/>
    <n v="145000"/>
    <s v="North"/>
    <x v="1"/>
    <x v="1"/>
  </r>
  <r>
    <s v="ORD1284"/>
    <d v="2024-05-17T00:00:00"/>
    <s v="C016"/>
    <s v="ERP Implementation"/>
    <s v="Software License"/>
    <n v="1"/>
    <n v="220000"/>
    <n v="90000"/>
    <n v="130000"/>
    <n v="0"/>
    <s v="Completed"/>
    <s v="Sandeep Rao"/>
    <s v="UPI"/>
    <n v="12"/>
    <n v="59.09"/>
    <n v="220000"/>
    <s v="South"/>
    <x v="3"/>
    <x v="3"/>
  </r>
  <r>
    <s v="ORD1285"/>
    <d v="2024-09-04T00:00:00"/>
    <s v="C012"/>
    <s v="Firewall &amp; Network Security"/>
    <s v="Security Services"/>
    <n v="2"/>
    <n v="85000"/>
    <n v="40000"/>
    <n v="45000"/>
    <n v="15"/>
    <s v="Cancelled"/>
    <s v="Sunita Pillai"/>
    <s v="Net Banking"/>
    <n v="6"/>
    <n v="52.94"/>
    <n v="42500"/>
    <s v="North"/>
    <x v="7"/>
    <x v="7"/>
  </r>
  <r>
    <s v="ORD1286"/>
    <d v="2024-11-04T00:00:00"/>
    <s v="C001"/>
    <s v="Chatbot Development"/>
    <s v="AI &amp; Automation"/>
    <n v="3"/>
    <n v="312000"/>
    <n v="165000"/>
    <n v="147000"/>
    <n v="20"/>
    <s v="In Progress"/>
    <s v="Nikhil Gupta"/>
    <s v="Cheque"/>
    <n v="24"/>
    <n v="47.12"/>
    <n v="104000"/>
    <s v="South"/>
    <x v="2"/>
    <x v="2"/>
  </r>
  <r>
    <s v="ORD1287"/>
    <d v="2024-06-20T00:00:00"/>
    <s v="C027"/>
    <s v="API Integration Service"/>
    <s v="Development"/>
    <n v="2"/>
    <n v="167200"/>
    <n v="76000"/>
    <n v="91200"/>
    <n v="5"/>
    <s v="Completed"/>
    <s v="Pooja Singh"/>
    <s v="Credit Card"/>
    <n v="24"/>
    <n v="54.55"/>
    <n v="83600"/>
    <s v="North"/>
    <x v="6"/>
    <x v="6"/>
  </r>
  <r>
    <s v="ORD1288"/>
    <d v="2024-11-16T00:00:00"/>
    <s v="C011"/>
    <s v="Data Analytics Dashboard"/>
    <s v="Analytics"/>
    <n v="4"/>
    <n v="360000"/>
    <n v="180000"/>
    <n v="180000"/>
    <n v="10"/>
    <s v="Completed"/>
    <s v="Kavita Joshi"/>
    <s v="UPI"/>
    <n v="12"/>
    <n v="50"/>
    <n v="90000"/>
    <s v="South"/>
    <x v="2"/>
    <x v="2"/>
  </r>
  <r>
    <s v="ORD1289"/>
    <d v="2024-07-20T00:00:00"/>
    <s v="C030"/>
    <s v="Web Portal Development"/>
    <s v="Development"/>
    <n v="2"/>
    <n v="261000"/>
    <n v="120000"/>
    <n v="141000"/>
    <n v="10"/>
    <s v="In Progress"/>
    <s v="Amit Verma"/>
    <s v="Net Banking"/>
    <n v="3"/>
    <n v="54.02"/>
    <n v="130500"/>
    <s v="North"/>
    <x v="4"/>
    <x v="4"/>
  </r>
  <r>
    <s v="ORD1290"/>
    <d v="2024-08-24T00:00:00"/>
    <s v="C007"/>
    <s v="IT Support &amp; Maintenance"/>
    <s v="IT Support"/>
    <n v="3"/>
    <n v="84000"/>
    <n v="45000"/>
    <n v="39000"/>
    <n v="20"/>
    <s v="Cancelled"/>
    <s v="Priya Nair"/>
    <s v="UPI"/>
    <n v="24"/>
    <n v="46.43"/>
    <n v="28000"/>
    <s v="West"/>
    <x v="9"/>
    <x v="9"/>
  </r>
  <r>
    <s v="ORD1291"/>
    <d v="2024-03-12T00:00:00"/>
    <s v="C008"/>
    <s v="Firewall &amp; Network Security"/>
    <s v="Security Services"/>
    <n v="2"/>
    <n v="85000"/>
    <n v="40000"/>
    <n v="45000"/>
    <n v="15"/>
    <s v="Completed"/>
    <s v="Nikhil Gupta"/>
    <s v="Bank Transfer"/>
    <n v="24"/>
    <n v="52.94"/>
    <n v="42500"/>
    <s v="North"/>
    <x v="5"/>
    <x v="5"/>
  </r>
  <r>
    <s v="ORD1292"/>
    <d v="2024-11-02T00:00:00"/>
    <s v="C013"/>
    <s v="Mobile App Development"/>
    <s v="Development"/>
    <n v="5"/>
    <n v="800000"/>
    <n v="425000"/>
    <n v="375000"/>
    <n v="20"/>
    <s v="Cancelled"/>
    <s v="Nikhil Gupta"/>
    <s v="Net Banking"/>
    <n v="3"/>
    <n v="46.88"/>
    <n v="160000"/>
    <s v="North"/>
    <x v="2"/>
    <x v="2"/>
  </r>
  <r>
    <s v="ORD1293"/>
    <d v="2024-07-03T00:00:00"/>
    <s v="C026"/>
    <s v="Mobile App Development"/>
    <s v="Development"/>
    <n v="5"/>
    <n v="850000"/>
    <n v="425000"/>
    <n v="425000"/>
    <n v="15"/>
    <s v="Completed"/>
    <s v="Priya Nair"/>
    <s v="Credit Card"/>
    <n v="12"/>
    <n v="50"/>
    <n v="170000"/>
    <s v="North"/>
    <x v="4"/>
    <x v="4"/>
  </r>
  <r>
    <s v="ORD1294"/>
    <d v="2024-03-26T00:00:00"/>
    <s v="C002"/>
    <s v="Web Portal Development"/>
    <s v="Development"/>
    <n v="4"/>
    <n v="464000"/>
    <n v="240000"/>
    <n v="224000"/>
    <n v="20"/>
    <s v="Completed"/>
    <s v="Nikhil Gupta"/>
    <s v="Bank Transfer"/>
    <n v="3"/>
    <n v="48.28"/>
    <n v="116000"/>
    <s v="West"/>
    <x v="5"/>
    <x v="5"/>
  </r>
  <r>
    <s v="ORD1295"/>
    <d v="2024-12-01T00:00:00"/>
    <s v="C024"/>
    <s v="Network Setup &amp; Config"/>
    <s v="IT Support"/>
    <n v="5"/>
    <n v="234000"/>
    <n v="110000"/>
    <n v="124000"/>
    <n v="10"/>
    <s v="Cancelled"/>
    <s v="Pooja Singh"/>
    <s v="Credit Card"/>
    <n v="24"/>
    <n v="52.99"/>
    <n v="46800"/>
    <s v="North"/>
    <x v="0"/>
    <x v="0"/>
  </r>
  <r>
    <s v="ORD1296"/>
    <d v="2024-07-10T00:00:00"/>
    <s v="C025"/>
    <s v="Web Portal Development"/>
    <s v="Development"/>
    <n v="5"/>
    <n v="725000"/>
    <n v="300000"/>
    <n v="425000"/>
    <n v="0"/>
    <s v="Completed"/>
    <s v="Rohit Sharma"/>
    <s v="UPI"/>
    <n v="3"/>
    <n v="58.62"/>
    <n v="145000"/>
    <s v="North"/>
    <x v="4"/>
    <x v="4"/>
  </r>
  <r>
    <s v="ORD1297"/>
    <d v="2024-05-31T00:00:00"/>
    <s v="C003"/>
    <s v="Enterprise CRM Software"/>
    <s v="Software License"/>
    <n v="2"/>
    <n v="180500"/>
    <n v="80000"/>
    <n v="100500"/>
    <n v="5"/>
    <s v="Completed"/>
    <s v="Kavita Joshi"/>
    <s v="UPI"/>
    <n v="6"/>
    <n v="55.68"/>
    <n v="90250"/>
    <s v="South"/>
    <x v="3"/>
    <x v="3"/>
  </r>
  <r>
    <s v="ORD1298"/>
    <d v="2024-09-23T00:00:00"/>
    <s v="C016"/>
    <s v="Enterprise CRM Software"/>
    <s v="Software License"/>
    <n v="4"/>
    <n v="323000"/>
    <n v="160000"/>
    <n v="163000"/>
    <n v="15"/>
    <s v="Cancelled"/>
    <s v="Sunita Pillai"/>
    <s v="Cheque"/>
    <n v="3"/>
    <n v="50.46"/>
    <n v="80750"/>
    <s v="South"/>
    <x v="7"/>
    <x v="7"/>
  </r>
  <r>
    <s v="ORD1299"/>
    <d v="2024-12-26T00:00:00"/>
    <s v="C004"/>
    <s v="Cloud Infrastructure Setup"/>
    <s v="Cloud Services"/>
    <n v="3"/>
    <n v="459000"/>
    <n v="240000"/>
    <n v="219000"/>
    <n v="15"/>
    <s v="Completed"/>
    <s v="Amit Verma"/>
    <s v="Credit Card"/>
    <n v="6"/>
    <n v="47.71"/>
    <n v="153000"/>
    <s v="North"/>
    <x v="0"/>
    <x v="0"/>
  </r>
  <r>
    <s v="ORD1300"/>
    <d v="2024-12-07T00:00:00"/>
    <s v="C014"/>
    <s v="IT Support &amp; Maintenance"/>
    <s v="IT Support"/>
    <n v="2"/>
    <n v="56000"/>
    <n v="30000"/>
    <n v="26000"/>
    <n v="20"/>
    <s v="Completed"/>
    <s v="Amit Verma"/>
    <s v="Credit Card"/>
    <n v="24"/>
    <n v="46.43"/>
    <n v="28000"/>
    <s v="South"/>
    <x v="0"/>
    <x v="0"/>
  </r>
  <r>
    <s v="ORD1301"/>
    <d v="2024-12-14T00:00:00"/>
    <s v="C029"/>
    <s v="Cybersecurity Audit"/>
    <s v="Security Services"/>
    <n v="4"/>
    <n v="216000"/>
    <n v="100000"/>
    <n v="116000"/>
    <n v="10"/>
    <s v="Completed"/>
    <s v="Nikhil Gupta"/>
    <s v="Bank Transfer"/>
    <n v="6"/>
    <n v="53.7"/>
    <n v="54000"/>
    <s v="South"/>
    <x v="0"/>
    <x v="0"/>
  </r>
  <r>
    <s v="ORD1302"/>
    <d v="2024-12-26T00:00:00"/>
    <s v="C026"/>
    <s v="AWS Management Package"/>
    <s v="Cloud Services"/>
    <n v="5"/>
    <n v="600000"/>
    <n v="250000"/>
    <n v="350000"/>
    <n v="0"/>
    <s v="In Progress"/>
    <s v="Amit Verma"/>
    <s v="Cheque"/>
    <n v="12"/>
    <n v="58.33"/>
    <n v="120000"/>
    <s v="North"/>
    <x v="0"/>
    <x v="0"/>
  </r>
  <r>
    <s v="ORD1303"/>
    <d v="2024-04-10T00:00:00"/>
    <s v="C009"/>
    <s v="Annual AMC Contract"/>
    <s v="IT Support"/>
    <n v="5"/>
    <n v="178500"/>
    <n v="90000"/>
    <n v="88500"/>
    <n v="15"/>
    <s v="Completed"/>
    <s v="Pooja Singh"/>
    <s v="UPI"/>
    <n v="24"/>
    <n v="49.58"/>
    <n v="35700"/>
    <s v="South"/>
    <x v="10"/>
    <x v="10"/>
  </r>
  <r>
    <s v="ORD1304"/>
    <d v="2024-11-11T00:00:00"/>
    <s v="C028"/>
    <s v="IT Support &amp; Maintenance"/>
    <s v="IT Support"/>
    <n v="5"/>
    <n v="175000"/>
    <n v="75000"/>
    <n v="100000"/>
    <n v="0"/>
    <s v="Cancelled"/>
    <s v="Sandeep Rao"/>
    <s v="Net Banking"/>
    <n v="3"/>
    <n v="57.14"/>
    <n v="35000"/>
    <s v="South"/>
    <x v="2"/>
    <x v="2"/>
  </r>
  <r>
    <s v="ORD1305"/>
    <d v="2024-10-12T00:00:00"/>
    <s v="C008"/>
    <s v="Data Analytics Dashboard"/>
    <s v="Analytics"/>
    <n v="1"/>
    <n v="100000"/>
    <n v="45000"/>
    <n v="55000"/>
    <n v="0"/>
    <s v="Completed"/>
    <s v="Amit Verma"/>
    <s v="Net Banking"/>
    <n v="24"/>
    <n v="55"/>
    <n v="100000"/>
    <s v="North"/>
    <x v="1"/>
    <x v="1"/>
  </r>
  <r>
    <s v="ORD1306"/>
    <d v="2024-08-02T00:00:00"/>
    <s v="C019"/>
    <s v="Chatbot Development"/>
    <s v="AI &amp; Automation"/>
    <n v="4"/>
    <n v="520000"/>
    <n v="220000"/>
    <n v="300000"/>
    <n v="0"/>
    <s v="Completed"/>
    <s v="Arjun Mehta"/>
    <s v="Credit Card"/>
    <n v="6"/>
    <n v="57.69"/>
    <n v="130000"/>
    <s v="North"/>
    <x v="9"/>
    <x v="9"/>
  </r>
  <r>
    <s v="ORD1307"/>
    <d v="2024-10-20T00:00:00"/>
    <s v="C011"/>
    <s v="IT Support &amp; Maintenance"/>
    <s v="IT Support"/>
    <n v="5"/>
    <n v="175000"/>
    <n v="75000"/>
    <n v="100000"/>
    <n v="0"/>
    <s v="Completed"/>
    <s v="Rohit Sharma"/>
    <s v="UPI"/>
    <n v="6"/>
    <n v="57.14"/>
    <n v="35000"/>
    <s v="South"/>
    <x v="1"/>
    <x v="1"/>
  </r>
  <r>
    <s v="ORD1308"/>
    <d v="2024-04-09T00:00:00"/>
    <s v="C018"/>
    <s v="Network Setup &amp; Config"/>
    <s v="IT Support"/>
    <n v="4"/>
    <n v="197600"/>
    <n v="88000"/>
    <n v="109600"/>
    <n v="5"/>
    <s v="Cancelled"/>
    <s v="Sunita Pillai"/>
    <s v="UPI"/>
    <n v="24"/>
    <n v="55.47"/>
    <n v="49400"/>
    <s v="South"/>
    <x v="10"/>
    <x v="10"/>
  </r>
  <r>
    <s v="ORD1309"/>
    <d v="2024-12-08T00:00:00"/>
    <s v="C001"/>
    <s v="Penetration Testing"/>
    <s v="Security Services"/>
    <n v="3"/>
    <n v="210000"/>
    <n v="90000"/>
    <n v="120000"/>
    <n v="0"/>
    <s v="Completed"/>
    <s v="Deepa Iyer"/>
    <s v="Net Banking"/>
    <n v="12"/>
    <n v="57.14"/>
    <n v="70000"/>
    <s v="South"/>
    <x v="0"/>
    <x v="0"/>
  </r>
  <r>
    <s v="ORD1310"/>
    <d v="2024-03-27T00:00:00"/>
    <s v="C019"/>
    <s v="Annual AMC Contract"/>
    <s v="IT Support"/>
    <n v="5"/>
    <n v="189000"/>
    <n v="90000"/>
    <n v="99000"/>
    <n v="10"/>
    <s v="Completed"/>
    <s v="Pooja Singh"/>
    <s v="Bank Transfer"/>
    <n v="12"/>
    <n v="52.38"/>
    <n v="37800"/>
    <s v="North"/>
    <x v="5"/>
    <x v="5"/>
  </r>
  <r>
    <s v="ORD1311"/>
    <d v="2024-10-05T00:00:00"/>
    <s v="C012"/>
    <s v="Mobile App Development"/>
    <s v="Development"/>
    <n v="1"/>
    <n v="160000"/>
    <n v="85000"/>
    <n v="75000"/>
    <n v="20"/>
    <s v="Cancelled"/>
    <s v="Sunita Pillai"/>
    <s v="Net Banking"/>
    <n v="6"/>
    <n v="46.88"/>
    <n v="160000"/>
    <s v="North"/>
    <x v="1"/>
    <x v="1"/>
  </r>
  <r>
    <s v="ORD1312"/>
    <d v="2024-12-19T00:00:00"/>
    <s v="C025"/>
    <s v="Penetration Testing"/>
    <s v="Security Services"/>
    <n v="3"/>
    <n v="168000"/>
    <n v="90000"/>
    <n v="78000"/>
    <n v="20"/>
    <s v="Completed"/>
    <s v="Sunita Pillai"/>
    <s v="Cheque"/>
    <n v="12"/>
    <n v="46.43"/>
    <n v="56000"/>
    <s v="North"/>
    <x v="0"/>
    <x v="0"/>
  </r>
  <r>
    <s v="ORD1313"/>
    <d v="2024-02-14T00:00:00"/>
    <s v="C004"/>
    <s v="Penetration Testing"/>
    <s v="Security Services"/>
    <n v="2"/>
    <n v="112000"/>
    <n v="60000"/>
    <n v="52000"/>
    <n v="20"/>
    <s v="Cancelled"/>
    <s v="Pooja Singh"/>
    <s v="Cheque"/>
    <n v="24"/>
    <n v="46.43"/>
    <n v="56000"/>
    <s v="North"/>
    <x v="11"/>
    <x v="11"/>
  </r>
  <r>
    <s v="ORD1314"/>
    <d v="2024-03-25T00:00:00"/>
    <s v="C026"/>
    <s v="Cybersecurity Audit"/>
    <s v="Security Services"/>
    <n v="2"/>
    <n v="96000"/>
    <n v="50000"/>
    <n v="46000"/>
    <n v="20"/>
    <s v="Completed"/>
    <s v="Pooja Singh"/>
    <s v="Cheque"/>
    <n v="12"/>
    <n v="47.92"/>
    <n v="48000"/>
    <s v="North"/>
    <x v="5"/>
    <x v="5"/>
  </r>
  <r>
    <s v="ORD1315"/>
    <d v="2024-11-01T00:00:00"/>
    <s v="C011"/>
    <s v="Data Analytics Dashboard"/>
    <s v="Analytics"/>
    <n v="3"/>
    <n v="270000"/>
    <n v="135000"/>
    <n v="135000"/>
    <n v="10"/>
    <s v="Completed"/>
    <s v="Arjun Mehta"/>
    <s v="Bank Transfer"/>
    <n v="6"/>
    <n v="50"/>
    <n v="90000"/>
    <s v="South"/>
    <x v="2"/>
    <x v="2"/>
  </r>
  <r>
    <s v="ORD1316"/>
    <d v="2024-07-29T00:00:00"/>
    <s v="C009"/>
    <s v="ERP Implementation"/>
    <s v="Software License"/>
    <n v="2"/>
    <n v="440000"/>
    <n v="180000"/>
    <n v="260000"/>
    <n v="0"/>
    <s v="Completed"/>
    <s v="Kavita Joshi"/>
    <s v="Credit Card"/>
    <n v="24"/>
    <n v="59.09"/>
    <n v="220000"/>
    <s v="South"/>
    <x v="4"/>
    <x v="4"/>
  </r>
  <r>
    <s v="ORD1317"/>
    <d v="2024-12-16T00:00:00"/>
    <s v="C009"/>
    <s v="RPA Implementation"/>
    <s v="AI &amp; Automation"/>
    <n v="4"/>
    <n v="608000"/>
    <n v="280000"/>
    <n v="328000"/>
    <n v="5"/>
    <s v="Completed"/>
    <s v="Priya Nair"/>
    <s v="UPI"/>
    <n v="12"/>
    <n v="53.95"/>
    <n v="152000"/>
    <s v="South"/>
    <x v="0"/>
    <x v="0"/>
  </r>
  <r>
    <s v="ORD1318"/>
    <d v="2024-12-21T00:00:00"/>
    <s v="C012"/>
    <s v="IT Support &amp; Maintenance"/>
    <s v="IT Support"/>
    <n v="4"/>
    <n v="133000"/>
    <n v="60000"/>
    <n v="73000"/>
    <n v="5"/>
    <s v="In Progress"/>
    <s v="Rohit Sharma"/>
    <s v="Bank Transfer"/>
    <n v="24"/>
    <n v="54.89"/>
    <n v="33250"/>
    <s v="North"/>
    <x v="0"/>
    <x v="0"/>
  </r>
  <r>
    <s v="ORD1319"/>
    <d v="2024-11-21T00:00:00"/>
    <s v="C012"/>
    <s v="AWS Management Package"/>
    <s v="Cloud Services"/>
    <n v="5"/>
    <n v="570000"/>
    <n v="250000"/>
    <n v="320000"/>
    <n v="5"/>
    <s v="Completed"/>
    <s v="Nikhil Gupta"/>
    <s v="Credit Card"/>
    <n v="24"/>
    <n v="56.14"/>
    <n v="114000"/>
    <s v="North"/>
    <x v="2"/>
    <x v="2"/>
  </r>
  <r>
    <s v="ORD1320"/>
    <d v="2024-05-17T00:00:00"/>
    <s v="C010"/>
    <s v="Business Intelligence Report"/>
    <s v="Analytics"/>
    <n v="5"/>
    <n v="292500"/>
    <n v="140000"/>
    <n v="152500"/>
    <n v="10"/>
    <s v="Completed"/>
    <s v="Pooja Singh"/>
    <s v="UPI"/>
    <n v="12"/>
    <n v="52.14"/>
    <n v="58500"/>
    <s v="South"/>
    <x v="3"/>
    <x v="3"/>
  </r>
  <r>
    <s v="ORD1321"/>
    <d v="2024-12-15T00:00:00"/>
    <s v="C002"/>
    <s v="Enterprise CRM Software"/>
    <s v="Software License"/>
    <n v="4"/>
    <n v="380000"/>
    <n v="160000"/>
    <n v="220000"/>
    <n v="0"/>
    <s v="Completed"/>
    <s v="Amit Verma"/>
    <s v="UPI"/>
    <n v="24"/>
    <n v="57.89"/>
    <n v="95000"/>
    <s v="West"/>
    <x v="0"/>
    <x v="0"/>
  </r>
  <r>
    <s v="ORD1322"/>
    <d v="2024-01-01T00:00:00"/>
    <s v="C014"/>
    <s v="Cybersecurity Audit"/>
    <s v="Security Services"/>
    <n v="2"/>
    <n v="102000"/>
    <n v="50000"/>
    <n v="52000"/>
    <n v="15"/>
    <s v="Completed"/>
    <s v="Amit Verma"/>
    <s v="Cheque"/>
    <n v="3"/>
    <n v="50.98"/>
    <n v="51000"/>
    <s v="South"/>
    <x v="8"/>
    <x v="8"/>
  </r>
  <r>
    <s v="ORD1323"/>
    <d v="2024-12-01T00:00:00"/>
    <s v="C003"/>
    <s v="AI/ML Model Development"/>
    <s v="AI &amp; Automation"/>
    <n v="2"/>
    <n v="560000"/>
    <n v="240000"/>
    <n v="320000"/>
    <n v="0"/>
    <s v="Completed"/>
    <s v="Sandeep Rao"/>
    <s v="Credit Card"/>
    <n v="24"/>
    <n v="57.14"/>
    <n v="280000"/>
    <s v="South"/>
    <x v="0"/>
    <x v="0"/>
  </r>
  <r>
    <s v="ORD1324"/>
    <d v="2024-10-09T00:00:00"/>
    <s v="C001"/>
    <s v="Cybersecurity Audit"/>
    <s v="Security Services"/>
    <n v="4"/>
    <n v="240000"/>
    <n v="100000"/>
    <n v="140000"/>
    <n v="0"/>
    <s v="Completed"/>
    <s v="Pooja Singh"/>
    <s v="Credit Card"/>
    <n v="24"/>
    <n v="58.33"/>
    <n v="60000"/>
    <s v="South"/>
    <x v="1"/>
    <x v="1"/>
  </r>
  <r>
    <s v="ORD1325"/>
    <d v="2024-11-09T00:00:00"/>
    <s v="C027"/>
    <s v="Enterprise CRM Software"/>
    <s v="Software License"/>
    <n v="4"/>
    <n v="323000"/>
    <n v="160000"/>
    <n v="163000"/>
    <n v="15"/>
    <s v="Completed"/>
    <s v="Sunita Pillai"/>
    <s v="Bank Transfer"/>
    <n v="6"/>
    <n v="50.46"/>
    <n v="80750"/>
    <s v="North"/>
    <x v="2"/>
    <x v="2"/>
  </r>
  <r>
    <s v="ORD1326"/>
    <d v="2024-10-10T00:00:00"/>
    <s v="C004"/>
    <s v="Business Intelligence Report"/>
    <s v="Analytics"/>
    <n v="3"/>
    <n v="185250"/>
    <n v="84000"/>
    <n v="101250"/>
    <n v="5"/>
    <s v="Completed"/>
    <s v="Nikhil Gupta"/>
    <s v="Credit Card"/>
    <n v="6"/>
    <n v="54.66"/>
    <n v="61750"/>
    <s v="North"/>
    <x v="1"/>
    <x v="1"/>
  </r>
  <r>
    <s v="ORD1327"/>
    <d v="2024-02-05T00:00:00"/>
    <s v="C001"/>
    <s v="API Integration Service"/>
    <s v="Development"/>
    <n v="2"/>
    <n v="167200"/>
    <n v="76000"/>
    <n v="91200"/>
    <n v="5"/>
    <s v="Completed"/>
    <s v="Deepa Iyer"/>
    <s v="Credit Card"/>
    <n v="24"/>
    <n v="54.55"/>
    <n v="83600"/>
    <s v="South"/>
    <x v="11"/>
    <x v="11"/>
  </r>
  <r>
    <s v="ORD1328"/>
    <d v="2024-11-11T00:00:00"/>
    <s v="C028"/>
    <s v="Cybersecurity Audit"/>
    <s v="Security Services"/>
    <n v="1"/>
    <n v="60000"/>
    <n v="25000"/>
    <n v="35000"/>
    <n v="0"/>
    <s v="Completed"/>
    <s v="Priya Nair"/>
    <s v="Net Banking"/>
    <n v="24"/>
    <n v="58.33"/>
    <n v="60000"/>
    <s v="South"/>
    <x v="2"/>
    <x v="2"/>
  </r>
  <r>
    <s v="ORD1329"/>
    <d v="2024-06-28T00:00:00"/>
    <s v="C011"/>
    <s v="ERP Implementation"/>
    <s v="Software License"/>
    <n v="2"/>
    <n v="418000"/>
    <n v="180000"/>
    <n v="238000"/>
    <n v="5"/>
    <s v="Cancelled"/>
    <s v="Priya Nair"/>
    <s v="Credit Card"/>
    <n v="12"/>
    <n v="56.94"/>
    <n v="209000"/>
    <s v="South"/>
    <x v="6"/>
    <x v="6"/>
  </r>
  <r>
    <s v="ORD1330"/>
    <d v="2024-12-20T00:00:00"/>
    <s v="C029"/>
    <s v="Data Analytics Dashboard"/>
    <s v="Analytics"/>
    <n v="2"/>
    <n v="180000"/>
    <n v="90000"/>
    <n v="90000"/>
    <n v="10"/>
    <s v="In Progress"/>
    <s v="Arjun Mehta"/>
    <s v="Credit Card"/>
    <n v="24"/>
    <n v="50"/>
    <n v="90000"/>
    <s v="South"/>
    <x v="0"/>
    <x v="0"/>
  </r>
  <r>
    <s v="ORD1331"/>
    <d v="2024-05-31T00:00:00"/>
    <s v="C026"/>
    <s v="Penetration Testing"/>
    <s v="Security Services"/>
    <n v="4"/>
    <n v="266000"/>
    <n v="120000"/>
    <n v="146000"/>
    <n v="5"/>
    <s v="Completed"/>
    <s v="Deepa Iyer"/>
    <s v="UPI"/>
    <n v="3"/>
    <n v="54.89"/>
    <n v="66500"/>
    <s v="North"/>
    <x v="3"/>
    <x v="3"/>
  </r>
  <r>
    <s v="ORD1332"/>
    <d v="2024-09-27T00:00:00"/>
    <s v="C001"/>
    <s v="AI/ML Model Development"/>
    <s v="AI &amp; Automation"/>
    <n v="3"/>
    <n v="840000"/>
    <n v="360000"/>
    <n v="480000"/>
    <n v="0"/>
    <s v="Completed"/>
    <s v="Pooja Singh"/>
    <s v="UPI"/>
    <n v="12"/>
    <n v="57.14"/>
    <n v="280000"/>
    <s v="South"/>
    <x v="7"/>
    <x v="7"/>
  </r>
  <r>
    <s v="ORD1333"/>
    <d v="2024-10-06T00:00:00"/>
    <s v="C025"/>
    <s v="Annual AMC Contract"/>
    <s v="IT Support"/>
    <n v="1"/>
    <n v="42000"/>
    <n v="18000"/>
    <n v="24000"/>
    <n v="0"/>
    <s v="In Progress"/>
    <s v="Priya Nair"/>
    <s v="Bank Transfer"/>
    <n v="12"/>
    <n v="57.14"/>
    <n v="42000"/>
    <s v="North"/>
    <x v="1"/>
    <x v="1"/>
  </r>
  <r>
    <s v="ORD1334"/>
    <d v="2024-10-04T00:00:00"/>
    <s v="C026"/>
    <s v="Chatbot Development"/>
    <s v="AI &amp; Automation"/>
    <n v="5"/>
    <n v="617500"/>
    <n v="275000"/>
    <n v="342500"/>
    <n v="5"/>
    <s v="Cancelled"/>
    <s v="Arjun Mehta"/>
    <s v="UPI"/>
    <n v="24"/>
    <n v="55.47"/>
    <n v="123500"/>
    <s v="North"/>
    <x v="1"/>
    <x v="1"/>
  </r>
  <r>
    <s v="ORD1335"/>
    <d v="2024-12-25T00:00:00"/>
    <s v="C021"/>
    <s v="Mobile App Development"/>
    <s v="Development"/>
    <n v="5"/>
    <n v="900000"/>
    <n v="425000"/>
    <n v="475000"/>
    <n v="10"/>
    <s v="Completed"/>
    <s v="Sandeep Rao"/>
    <s v="Bank Transfer"/>
    <n v="12"/>
    <n v="52.78"/>
    <n v="180000"/>
    <s v="West"/>
    <x v="0"/>
    <x v="0"/>
  </r>
  <r>
    <s v="ORD1336"/>
    <d v="2024-02-10T00:00:00"/>
    <s v="C007"/>
    <s v="ERP Implementation"/>
    <s v="Software License"/>
    <n v="5"/>
    <n v="1045000"/>
    <n v="450000"/>
    <n v="595000"/>
    <n v="5"/>
    <s v="Completed"/>
    <s v="Pooja Singh"/>
    <s v="Bank Transfer"/>
    <n v="12"/>
    <n v="56.94"/>
    <n v="209000"/>
    <s v="West"/>
    <x v="11"/>
    <x v="11"/>
  </r>
  <r>
    <s v="ORD1337"/>
    <d v="2024-12-23T00:00:00"/>
    <s v="C028"/>
    <s v="Penetration Testing"/>
    <s v="Security Services"/>
    <n v="1"/>
    <n v="70000"/>
    <n v="30000"/>
    <n v="40000"/>
    <n v="0"/>
    <s v="Completed"/>
    <s v="Nikhil Gupta"/>
    <s v="Bank Transfer"/>
    <n v="24"/>
    <n v="57.14"/>
    <n v="70000"/>
    <s v="South"/>
    <x v="0"/>
    <x v="0"/>
  </r>
  <r>
    <s v="ORD1338"/>
    <d v="2024-11-09T00:00:00"/>
    <s v="C010"/>
    <s v="HR Management System"/>
    <s v="Software License"/>
    <n v="1"/>
    <n v="80000"/>
    <n v="35000"/>
    <n v="45000"/>
    <n v="0"/>
    <s v="Cancelled"/>
    <s v="Amit Verma"/>
    <s v="Bank Transfer"/>
    <n v="6"/>
    <n v="56.25"/>
    <n v="80000"/>
    <s v="South"/>
    <x v="2"/>
    <x v="2"/>
  </r>
  <r>
    <s v="ORD1339"/>
    <d v="2024-09-11T00:00:00"/>
    <s v="C017"/>
    <s v="Network Setup &amp; Config"/>
    <s v="IT Support"/>
    <n v="3"/>
    <n v="156000"/>
    <n v="66000"/>
    <n v="90000"/>
    <n v="0"/>
    <s v="Completed"/>
    <s v="Amit Verma"/>
    <s v="Cheque"/>
    <n v="3"/>
    <n v="57.69"/>
    <n v="52000"/>
    <s v="South"/>
    <x v="7"/>
    <x v="7"/>
  </r>
  <r>
    <s v="ORD1340"/>
    <d v="2024-01-16T00:00:00"/>
    <s v="C014"/>
    <s v="Firewall &amp; Network Security"/>
    <s v="Security Services"/>
    <n v="5"/>
    <n v="250000"/>
    <n v="100000"/>
    <n v="150000"/>
    <n v="0"/>
    <s v="Completed"/>
    <s v="Pooja Singh"/>
    <s v="Bank Transfer"/>
    <n v="24"/>
    <n v="60"/>
    <n v="50000"/>
    <s v="South"/>
    <x v="8"/>
    <x v="8"/>
  </r>
  <r>
    <s v="ORD1341"/>
    <d v="2024-08-21T00:00:00"/>
    <s v="C002"/>
    <s v="Annual AMC Contract"/>
    <s v="IT Support"/>
    <n v="5"/>
    <n v="210000"/>
    <n v="90000"/>
    <n v="120000"/>
    <n v="0"/>
    <s v="Completed"/>
    <s v="Amit Verma"/>
    <s v="Cheque"/>
    <n v="3"/>
    <n v="57.14"/>
    <n v="42000"/>
    <s v="West"/>
    <x v="9"/>
    <x v="9"/>
  </r>
  <r>
    <s v="ORD1342"/>
    <d v="2024-10-20T00:00:00"/>
    <s v="C004"/>
    <s v="Penetration Testing"/>
    <s v="Security Services"/>
    <n v="5"/>
    <n v="350000"/>
    <n v="150000"/>
    <n v="200000"/>
    <n v="0"/>
    <s v="Completed"/>
    <s v="Rohit Sharma"/>
    <s v="Credit Card"/>
    <n v="3"/>
    <n v="57.14"/>
    <n v="70000"/>
    <s v="North"/>
    <x v="1"/>
    <x v="1"/>
  </r>
  <r>
    <s v="ORD1343"/>
    <d v="2024-08-29T00:00:00"/>
    <s v="C030"/>
    <s v="ERP Implementation"/>
    <s v="Software License"/>
    <n v="2"/>
    <n v="352000"/>
    <n v="180000"/>
    <n v="172000"/>
    <n v="20"/>
    <s v="Completed"/>
    <s v="Arjun Mehta"/>
    <s v="UPI"/>
    <n v="6"/>
    <n v="48.86"/>
    <n v="176000"/>
    <s v="North"/>
    <x v="9"/>
    <x v="9"/>
  </r>
  <r>
    <s v="ORD1344"/>
    <d v="2024-12-28T00:00:00"/>
    <s v="C011"/>
    <s v="Firewall &amp; Network Security"/>
    <s v="Security Services"/>
    <n v="1"/>
    <n v="45000"/>
    <n v="20000"/>
    <n v="25000"/>
    <n v="10"/>
    <s v="Completed"/>
    <s v="Priya Nair"/>
    <s v="Net Banking"/>
    <n v="3"/>
    <n v="55.56"/>
    <n v="45000"/>
    <s v="South"/>
    <x v="0"/>
    <x v="0"/>
  </r>
  <r>
    <s v="ORD1345"/>
    <d v="2024-12-02T00:00:00"/>
    <s v="C002"/>
    <s v="Chatbot Development"/>
    <s v="AI &amp; Automation"/>
    <n v="1"/>
    <n v="123500"/>
    <n v="55000"/>
    <n v="68500"/>
    <n v="5"/>
    <s v="Completed"/>
    <s v="Sandeep Rao"/>
    <s v="Cheque"/>
    <n v="3"/>
    <n v="55.47"/>
    <n v="123500"/>
    <s v="West"/>
    <x v="0"/>
    <x v="0"/>
  </r>
  <r>
    <s v="ORD1346"/>
    <d v="2024-10-10T00:00:00"/>
    <s v="C012"/>
    <s v="Cybersecurity Audit"/>
    <s v="Security Services"/>
    <n v="3"/>
    <n v="162000"/>
    <n v="75000"/>
    <n v="87000"/>
    <n v="10"/>
    <s v="Completed"/>
    <s v="Pooja Singh"/>
    <s v="Credit Card"/>
    <n v="24"/>
    <n v="53.7"/>
    <n v="54000"/>
    <s v="North"/>
    <x v="1"/>
    <x v="1"/>
  </r>
  <r>
    <s v="ORD1347"/>
    <d v="2024-07-07T00:00:00"/>
    <s v="C016"/>
    <s v="Cybersecurity Audit"/>
    <s v="Security Services"/>
    <n v="5"/>
    <n v="240000"/>
    <n v="125000"/>
    <n v="115000"/>
    <n v="20"/>
    <s v="Completed"/>
    <s v="Amit Verma"/>
    <s v="Bank Transfer"/>
    <n v="24"/>
    <n v="47.92"/>
    <n v="48000"/>
    <s v="South"/>
    <x v="4"/>
    <x v="4"/>
  </r>
  <r>
    <s v="ORD1348"/>
    <d v="2024-11-10T00:00:00"/>
    <s v="C021"/>
    <s v="Cloud Infrastructure Setup"/>
    <s v="Cloud Services"/>
    <n v="3"/>
    <n v="540000"/>
    <n v="240000"/>
    <n v="300000"/>
    <n v="0"/>
    <s v="Cancelled"/>
    <s v="Nikhil Gupta"/>
    <s v="Cheque"/>
    <n v="3"/>
    <n v="55.56"/>
    <n v="180000"/>
    <s v="West"/>
    <x v="2"/>
    <x v="2"/>
  </r>
  <r>
    <s v="ORD1349"/>
    <d v="2024-04-15T00:00:00"/>
    <s v="C008"/>
    <s v="RPA Implementation"/>
    <s v="AI &amp; Automation"/>
    <n v="4"/>
    <n v="640000"/>
    <n v="280000"/>
    <n v="360000"/>
    <n v="0"/>
    <s v="Completed"/>
    <s v="Sandeep Rao"/>
    <s v="Bank Transfer"/>
    <n v="3"/>
    <n v="56.25"/>
    <n v="160000"/>
    <s v="North"/>
    <x v="10"/>
    <x v="10"/>
  </r>
  <r>
    <s v="ORD1350"/>
    <d v="2024-04-28T00:00:00"/>
    <s v="C017"/>
    <s v="RPA Implementation"/>
    <s v="AI &amp; Automation"/>
    <n v="3"/>
    <n v="456000"/>
    <n v="210000"/>
    <n v="246000"/>
    <n v="5"/>
    <s v="Cancelled"/>
    <s v="Priya Nair"/>
    <s v="Net Banking"/>
    <n v="3"/>
    <n v="53.95"/>
    <n v="152000"/>
    <s v="South"/>
    <x v="10"/>
    <x v="10"/>
  </r>
  <r>
    <s v="ORD1351"/>
    <d v="2024-11-16T00:00:00"/>
    <s v="C003"/>
    <s v="Web Portal Development"/>
    <s v="Development"/>
    <n v="5"/>
    <n v="725000"/>
    <n v="300000"/>
    <n v="425000"/>
    <n v="0"/>
    <s v="Completed"/>
    <s v="Amit Verma"/>
    <s v="Credit Card"/>
    <n v="12"/>
    <n v="58.62"/>
    <n v="145000"/>
    <s v="South"/>
    <x v="2"/>
    <x v="2"/>
  </r>
  <r>
    <s v="ORD1352"/>
    <d v="2024-05-13T00:00:00"/>
    <s v="C030"/>
    <s v="Chatbot Development"/>
    <s v="AI &amp; Automation"/>
    <n v="3"/>
    <n v="370500"/>
    <n v="165000"/>
    <n v="205500"/>
    <n v="5"/>
    <s v="Completed"/>
    <s v="Sandeep Rao"/>
    <s v="Credit Card"/>
    <n v="3"/>
    <n v="55.47"/>
    <n v="123500"/>
    <s v="North"/>
    <x v="3"/>
    <x v="3"/>
  </r>
  <r>
    <s v="ORD1353"/>
    <d v="2024-12-10T00:00:00"/>
    <s v="C004"/>
    <s v="ERP Implementation"/>
    <s v="Software License"/>
    <n v="1"/>
    <n v="220000"/>
    <n v="90000"/>
    <n v="130000"/>
    <n v="0"/>
    <s v="Completed"/>
    <s v="Sunita Pillai"/>
    <s v="Cheque"/>
    <n v="24"/>
    <n v="59.09"/>
    <n v="220000"/>
    <s v="North"/>
    <x v="0"/>
    <x v="0"/>
  </r>
  <r>
    <s v="ORD1354"/>
    <d v="2024-03-02T00:00:00"/>
    <s v="C025"/>
    <s v="Cybersecurity Audit"/>
    <s v="Security Services"/>
    <n v="4"/>
    <n v="228000"/>
    <n v="100000"/>
    <n v="128000"/>
    <n v="5"/>
    <s v="Completed"/>
    <s v="Sandeep Rao"/>
    <s v="Bank Transfer"/>
    <n v="3"/>
    <n v="56.14"/>
    <n v="57000"/>
    <s v="North"/>
    <x v="5"/>
    <x v="5"/>
  </r>
  <r>
    <s v="ORD1355"/>
    <d v="2024-03-21T00:00:00"/>
    <s v="C010"/>
    <s v="API Integration Service"/>
    <s v="Development"/>
    <n v="1"/>
    <n v="88000"/>
    <n v="38000"/>
    <n v="50000"/>
    <n v="0"/>
    <s v="Completed"/>
    <s v="Amit Verma"/>
    <s v="Bank Transfer"/>
    <n v="6"/>
    <n v="56.82"/>
    <n v="88000"/>
    <s v="South"/>
    <x v="5"/>
    <x v="5"/>
  </r>
  <r>
    <s v="ORD1356"/>
    <d v="2024-07-01T00:00:00"/>
    <s v="C002"/>
    <s v="Data Analytics Dashboard"/>
    <s v="Analytics"/>
    <n v="3"/>
    <n v="240000"/>
    <n v="135000"/>
    <n v="105000"/>
    <n v="20"/>
    <s v="Completed"/>
    <s v="Rohit Sharma"/>
    <s v="UPI"/>
    <n v="24"/>
    <n v="43.75"/>
    <n v="80000"/>
    <s v="West"/>
    <x v="4"/>
    <x v="4"/>
  </r>
  <r>
    <s v="ORD1357"/>
    <d v="2024-10-11T00:00:00"/>
    <s v="C008"/>
    <s v="Enterprise CRM Software"/>
    <s v="Software License"/>
    <n v="4"/>
    <n v="380000"/>
    <n v="160000"/>
    <n v="220000"/>
    <n v="0"/>
    <s v="Completed"/>
    <s v="Priya Nair"/>
    <s v="Bank Transfer"/>
    <n v="3"/>
    <n v="57.89"/>
    <n v="95000"/>
    <s v="North"/>
    <x v="1"/>
    <x v="1"/>
  </r>
  <r>
    <s v="ORD1358"/>
    <d v="2024-11-17T00:00:00"/>
    <s v="C012"/>
    <s v="AWS Management Package"/>
    <s v="Cloud Services"/>
    <n v="5"/>
    <n v="540000"/>
    <n v="250000"/>
    <n v="290000"/>
    <n v="10"/>
    <s v="Completed"/>
    <s v="Priya Nair"/>
    <s v="Bank Transfer"/>
    <n v="3"/>
    <n v="53.7"/>
    <n v="108000"/>
    <s v="North"/>
    <x v="2"/>
    <x v="2"/>
  </r>
  <r>
    <s v="ORD1359"/>
    <d v="2024-04-11T00:00:00"/>
    <s v="C015"/>
    <s v="ERP Implementation"/>
    <s v="Software License"/>
    <n v="1"/>
    <n v="176000"/>
    <n v="90000"/>
    <n v="86000"/>
    <n v="20"/>
    <s v="Completed"/>
    <s v="Priya Nair"/>
    <s v="Bank Transfer"/>
    <n v="24"/>
    <n v="48.86"/>
    <n v="176000"/>
    <s v="West"/>
    <x v="10"/>
    <x v="10"/>
  </r>
  <r>
    <s v="ORD1360"/>
    <d v="2024-12-09T00:00:00"/>
    <s v="C014"/>
    <s v="Chatbot Development"/>
    <s v="AI &amp; Automation"/>
    <n v="4"/>
    <n v="520000"/>
    <n v="220000"/>
    <n v="300000"/>
    <n v="0"/>
    <s v="Completed"/>
    <s v="Nikhil Gupta"/>
    <s v="Credit Card"/>
    <n v="12"/>
    <n v="57.69"/>
    <n v="130000"/>
    <s v="South"/>
    <x v="0"/>
    <x v="0"/>
  </r>
  <r>
    <s v="ORD1361"/>
    <d v="2024-04-19T00:00:00"/>
    <s v="C009"/>
    <s v="Firewall &amp; Network Security"/>
    <s v="Security Services"/>
    <n v="4"/>
    <n v="200000"/>
    <n v="80000"/>
    <n v="120000"/>
    <n v="0"/>
    <s v="Completed"/>
    <s v="Pooja Singh"/>
    <s v="Net Banking"/>
    <n v="6"/>
    <n v="60"/>
    <n v="50000"/>
    <s v="South"/>
    <x v="10"/>
    <x v="10"/>
  </r>
  <r>
    <s v="ORD1362"/>
    <d v="2024-11-18T00:00:00"/>
    <s v="C029"/>
    <s v="Mobile App Development"/>
    <s v="Development"/>
    <n v="4"/>
    <n v="800000"/>
    <n v="340000"/>
    <n v="460000"/>
    <n v="0"/>
    <s v="Completed"/>
    <s v="Sandeep Rao"/>
    <s v="UPI"/>
    <n v="6"/>
    <n v="57.5"/>
    <n v="200000"/>
    <s v="South"/>
    <x v="2"/>
    <x v="2"/>
  </r>
  <r>
    <s v="ORD1363"/>
    <d v="2024-12-03T00:00:00"/>
    <s v="C008"/>
    <s v="Mobile App Development"/>
    <s v="Development"/>
    <n v="1"/>
    <n v="190000"/>
    <n v="85000"/>
    <n v="105000"/>
    <n v="5"/>
    <s v="Cancelled"/>
    <s v="Kavita Joshi"/>
    <s v="UPI"/>
    <n v="24"/>
    <n v="55.26"/>
    <n v="190000"/>
    <s v="North"/>
    <x v="0"/>
    <x v="0"/>
  </r>
  <r>
    <s v="ORD1364"/>
    <d v="2024-06-25T00:00:00"/>
    <s v="C017"/>
    <s v="Business Intelligence Report"/>
    <s v="Analytics"/>
    <n v="4"/>
    <n v="247000"/>
    <n v="112000"/>
    <n v="135000"/>
    <n v="5"/>
    <s v="Completed"/>
    <s v="Rohit Sharma"/>
    <s v="Cheque"/>
    <n v="6"/>
    <n v="54.66"/>
    <n v="61750"/>
    <s v="South"/>
    <x v="6"/>
    <x v="6"/>
  </r>
  <r>
    <s v="ORD1365"/>
    <d v="2024-01-16T00:00:00"/>
    <s v="C025"/>
    <s v="Firewall &amp; Network Security"/>
    <s v="Security Services"/>
    <n v="1"/>
    <n v="40000"/>
    <n v="20000"/>
    <n v="20000"/>
    <n v="20"/>
    <s v="Completed"/>
    <s v="Arjun Mehta"/>
    <s v="Cheque"/>
    <n v="6"/>
    <n v="50"/>
    <n v="40000"/>
    <s v="North"/>
    <x v="8"/>
    <x v="8"/>
  </r>
  <r>
    <s v="ORD1366"/>
    <d v="2024-12-20T00:00:00"/>
    <s v="C008"/>
    <s v="Firewall &amp; Network Security"/>
    <s v="Security Services"/>
    <n v="5"/>
    <n v="200000"/>
    <n v="100000"/>
    <n v="100000"/>
    <n v="20"/>
    <s v="Cancelled"/>
    <s v="Rohit Sharma"/>
    <s v="Credit Card"/>
    <n v="24"/>
    <n v="50"/>
    <n v="40000"/>
    <s v="North"/>
    <x v="0"/>
    <x v="0"/>
  </r>
  <r>
    <s v="ORD1367"/>
    <d v="2024-06-30T00:00:00"/>
    <s v="C028"/>
    <s v="HR Management System"/>
    <s v="Software License"/>
    <n v="2"/>
    <n v="160000"/>
    <n v="70000"/>
    <n v="90000"/>
    <n v="0"/>
    <s v="In Progress"/>
    <s v="Kavita Joshi"/>
    <s v="Cheque"/>
    <n v="3"/>
    <n v="56.25"/>
    <n v="80000"/>
    <s v="South"/>
    <x v="6"/>
    <x v="6"/>
  </r>
  <r>
    <s v="ORD1368"/>
    <d v="2024-12-26T00:00:00"/>
    <s v="C019"/>
    <s v="Web Portal Development"/>
    <s v="Development"/>
    <n v="2"/>
    <n v="261000"/>
    <n v="120000"/>
    <n v="141000"/>
    <n v="10"/>
    <s v="Completed"/>
    <s v="Sunita Pillai"/>
    <s v="Net Banking"/>
    <n v="12"/>
    <n v="54.02"/>
    <n v="130500"/>
    <s v="North"/>
    <x v="0"/>
    <x v="0"/>
  </r>
  <r>
    <s v="ORD1369"/>
    <d v="2024-03-30T00:00:00"/>
    <s v="C003"/>
    <s v="Cloud Migration Service"/>
    <s v="Cloud Services"/>
    <n v="2"/>
    <n v="252000"/>
    <n v="120000"/>
    <n v="132000"/>
    <n v="10"/>
    <s v="Completed"/>
    <s v="Rohit Sharma"/>
    <s v="Net Banking"/>
    <n v="24"/>
    <n v="52.38"/>
    <n v="126000"/>
    <s v="South"/>
    <x v="5"/>
    <x v="5"/>
  </r>
  <r>
    <s v="ORD1370"/>
    <d v="2024-01-01T00:00:00"/>
    <s v="C020"/>
    <s v="Cybersecurity Audit"/>
    <s v="Security Services"/>
    <n v="2"/>
    <n v="114000"/>
    <n v="50000"/>
    <n v="64000"/>
    <n v="5"/>
    <s v="Cancelled"/>
    <s v="Amit Verma"/>
    <s v="Cheque"/>
    <n v="3"/>
    <n v="56.14"/>
    <n v="57000"/>
    <s v="North"/>
    <x v="8"/>
    <x v="8"/>
  </r>
  <r>
    <s v="ORD1371"/>
    <d v="2024-12-26T00:00:00"/>
    <s v="C030"/>
    <s v="ERP Implementation"/>
    <s v="Software License"/>
    <n v="1"/>
    <n v="176000"/>
    <n v="90000"/>
    <n v="86000"/>
    <n v="20"/>
    <s v="In Progress"/>
    <s v="Kavita Joshi"/>
    <s v="Bank Transfer"/>
    <n v="12"/>
    <n v="48.86"/>
    <n v="176000"/>
    <s v="North"/>
    <x v="0"/>
    <x v="0"/>
  </r>
  <r>
    <s v="ORD1372"/>
    <d v="2024-12-26T00:00:00"/>
    <s v="C013"/>
    <s v="Web Portal Development"/>
    <s v="Development"/>
    <n v="1"/>
    <n v="137750"/>
    <n v="60000"/>
    <n v="77750"/>
    <n v="5"/>
    <s v="Completed"/>
    <s v="Kavita Joshi"/>
    <s v="Credit Card"/>
    <n v="6"/>
    <n v="56.44"/>
    <n v="137750"/>
    <s v="North"/>
    <x v="0"/>
    <x v="0"/>
  </r>
  <r>
    <s v="ORD1373"/>
    <d v="2024-08-11T00:00:00"/>
    <s v="C016"/>
    <s v="Business Intelligence Report"/>
    <s v="Analytics"/>
    <n v="2"/>
    <n v="110500"/>
    <n v="56000"/>
    <n v="54500"/>
    <n v="15"/>
    <s v="In Progress"/>
    <s v="Pooja Singh"/>
    <s v="Cheque"/>
    <n v="6"/>
    <n v="49.32"/>
    <n v="55250"/>
    <s v="South"/>
    <x v="9"/>
    <x v="9"/>
  </r>
  <r>
    <s v="ORD1374"/>
    <d v="2024-12-06T00:00:00"/>
    <s v="C006"/>
    <s v="Chatbot Development"/>
    <s v="AI &amp; Automation"/>
    <n v="3"/>
    <n v="331500"/>
    <n v="165000"/>
    <n v="166500"/>
    <n v="15"/>
    <s v="Cancelled"/>
    <s v="Sandeep Rao"/>
    <s v="Credit Card"/>
    <n v="6"/>
    <n v="50.23"/>
    <n v="110500"/>
    <s v="West"/>
    <x v="0"/>
    <x v="0"/>
  </r>
  <r>
    <s v="ORD1375"/>
    <d v="2024-01-01T00:00:00"/>
    <s v="C019"/>
    <s v="Chatbot Development"/>
    <s v="AI &amp; Automation"/>
    <n v="5"/>
    <n v="650000"/>
    <n v="275000"/>
    <n v="375000"/>
    <n v="0"/>
    <s v="Completed"/>
    <s v="Pooja Singh"/>
    <s v="Cheque"/>
    <n v="6"/>
    <n v="57.69"/>
    <n v="130000"/>
    <s v="North"/>
    <x v="8"/>
    <x v="8"/>
  </r>
  <r>
    <s v="ORD1376"/>
    <d v="2024-11-23T00:00:00"/>
    <s v="C030"/>
    <s v="Annual AMC Contract"/>
    <s v="IT Support"/>
    <n v="2"/>
    <n v="79800"/>
    <n v="36000"/>
    <n v="43800"/>
    <n v="5"/>
    <s v="Cancelled"/>
    <s v="Priya Nair"/>
    <s v="Credit Card"/>
    <n v="12"/>
    <n v="54.89"/>
    <n v="39900"/>
    <s v="North"/>
    <x v="2"/>
    <x v="2"/>
  </r>
  <r>
    <s v="ORD1377"/>
    <d v="2024-10-08T00:00:00"/>
    <s v="C027"/>
    <s v="Business Intelligence Report"/>
    <s v="Analytics"/>
    <n v="4"/>
    <n v="260000"/>
    <n v="112000"/>
    <n v="148000"/>
    <n v="0"/>
    <s v="Completed"/>
    <s v="Deepa Iyer"/>
    <s v="Credit Card"/>
    <n v="3"/>
    <n v="56.92"/>
    <n v="65000"/>
    <s v="North"/>
    <x v="1"/>
    <x v="1"/>
  </r>
  <r>
    <s v="ORD1378"/>
    <d v="2024-10-10T00:00:00"/>
    <s v="C024"/>
    <s v="Cloud Infrastructure Setup"/>
    <s v="Cloud Services"/>
    <n v="1"/>
    <n v="171000"/>
    <n v="80000"/>
    <n v="91000"/>
    <n v="5"/>
    <s v="Completed"/>
    <s v="Nikhil Gupta"/>
    <s v="Credit Card"/>
    <n v="24"/>
    <n v="53.22"/>
    <n v="171000"/>
    <s v="North"/>
    <x v="1"/>
    <x v="1"/>
  </r>
  <r>
    <s v="ORD1379"/>
    <d v="2024-09-09T00:00:00"/>
    <s v="C012"/>
    <s v="Mobile App Development"/>
    <s v="Development"/>
    <n v="4"/>
    <n v="800000"/>
    <n v="340000"/>
    <n v="460000"/>
    <n v="0"/>
    <s v="Completed"/>
    <s v="Pooja Singh"/>
    <s v="Credit Card"/>
    <n v="6"/>
    <n v="57.5"/>
    <n v="200000"/>
    <s v="North"/>
    <x v="7"/>
    <x v="7"/>
  </r>
  <r>
    <s v="ORD1380"/>
    <d v="2024-10-01T00:00:00"/>
    <s v="C010"/>
    <s v="Cloud Infrastructure Setup"/>
    <s v="Cloud Services"/>
    <n v="3"/>
    <n v="513000"/>
    <n v="240000"/>
    <n v="273000"/>
    <n v="5"/>
    <s v="Completed"/>
    <s v="Priya Nair"/>
    <s v="Cheque"/>
    <n v="6"/>
    <n v="53.22"/>
    <n v="171000"/>
    <s v="South"/>
    <x v="1"/>
    <x v="1"/>
  </r>
  <r>
    <s v="ORD1381"/>
    <d v="2024-10-06T00:00:00"/>
    <s v="C018"/>
    <s v="AWS Management Package"/>
    <s v="Cloud Services"/>
    <n v="3"/>
    <n v="324000"/>
    <n v="150000"/>
    <n v="174000"/>
    <n v="10"/>
    <s v="In Progress"/>
    <s v="Sunita Pillai"/>
    <s v="Bank Transfer"/>
    <n v="24"/>
    <n v="53.7"/>
    <n v="108000"/>
    <s v="South"/>
    <x v="1"/>
    <x v="1"/>
  </r>
  <r>
    <s v="ORD1382"/>
    <d v="2024-11-21T00:00:00"/>
    <s v="C006"/>
    <s v="Cloud Migration Service"/>
    <s v="Cloud Services"/>
    <n v="1"/>
    <n v="133000"/>
    <n v="60000"/>
    <n v="73000"/>
    <n v="5"/>
    <s v="Completed"/>
    <s v="Deepa Iyer"/>
    <s v="UPI"/>
    <n v="12"/>
    <n v="54.89"/>
    <n v="133000"/>
    <s v="West"/>
    <x v="2"/>
    <x v="2"/>
  </r>
  <r>
    <s v="ORD1383"/>
    <d v="2024-10-27T00:00:00"/>
    <s v="C004"/>
    <s v="Cloud Migration Service"/>
    <s v="Cloud Services"/>
    <n v="4"/>
    <n v="504000"/>
    <n v="240000"/>
    <n v="264000"/>
    <n v="10"/>
    <s v="In Progress"/>
    <s v="Sunita Pillai"/>
    <s v="Credit Card"/>
    <n v="3"/>
    <n v="52.38"/>
    <n v="126000"/>
    <s v="North"/>
    <x v="1"/>
    <x v="1"/>
  </r>
  <r>
    <s v="ORD1384"/>
    <d v="2024-10-08T00:00:00"/>
    <s v="C010"/>
    <s v="API Integration Service"/>
    <s v="Development"/>
    <n v="4"/>
    <n v="352000"/>
    <n v="152000"/>
    <n v="200000"/>
    <n v="0"/>
    <s v="Completed"/>
    <s v="Rohit Sharma"/>
    <s v="Credit Card"/>
    <n v="6"/>
    <n v="56.82"/>
    <n v="88000"/>
    <s v="South"/>
    <x v="1"/>
    <x v="1"/>
  </r>
  <r>
    <s v="ORD1385"/>
    <d v="2024-10-07T00:00:00"/>
    <s v="C016"/>
    <s v="Enterprise CRM Software"/>
    <s v="Software License"/>
    <n v="3"/>
    <n v="228000"/>
    <n v="120000"/>
    <n v="108000"/>
    <n v="20"/>
    <s v="Completed"/>
    <s v="Sunita Pillai"/>
    <s v="UPI"/>
    <n v="12"/>
    <n v="47.37"/>
    <n v="76000"/>
    <s v="South"/>
    <x v="1"/>
    <x v="1"/>
  </r>
  <r>
    <s v="ORD1386"/>
    <d v="2024-02-16T00:00:00"/>
    <s v="C013"/>
    <s v="HR Management System"/>
    <s v="Software License"/>
    <n v="3"/>
    <n v="228000"/>
    <n v="105000"/>
    <n v="123000"/>
    <n v="5"/>
    <s v="Completed"/>
    <s v="Amit Verma"/>
    <s v="UPI"/>
    <n v="3"/>
    <n v="53.95"/>
    <n v="76000"/>
    <s v="North"/>
    <x v="11"/>
    <x v="11"/>
  </r>
  <r>
    <s v="ORD1387"/>
    <d v="2024-05-14T00:00:00"/>
    <s v="C009"/>
    <s v="Penetration Testing"/>
    <s v="Security Services"/>
    <n v="3"/>
    <n v="189000"/>
    <n v="90000"/>
    <n v="99000"/>
    <n v="10"/>
    <s v="Completed"/>
    <s v="Amit Verma"/>
    <s v="Bank Transfer"/>
    <n v="3"/>
    <n v="52.38"/>
    <n v="63000"/>
    <s v="South"/>
    <x v="3"/>
    <x v="3"/>
  </r>
  <r>
    <s v="ORD1388"/>
    <d v="2024-12-08T00:00:00"/>
    <s v="C018"/>
    <s v="RPA Implementation"/>
    <s v="AI &amp; Automation"/>
    <n v="5"/>
    <n v="800000"/>
    <n v="350000"/>
    <n v="450000"/>
    <n v="0"/>
    <s v="In Progress"/>
    <s v="Rohit Sharma"/>
    <s v="UPI"/>
    <n v="24"/>
    <n v="56.25"/>
    <n v="160000"/>
    <s v="South"/>
    <x v="0"/>
    <x v="0"/>
  </r>
  <r>
    <s v="ORD1389"/>
    <d v="2024-10-01T00:00:00"/>
    <s v="C030"/>
    <s v="Annual AMC Contract"/>
    <s v="IT Support"/>
    <n v="5"/>
    <n v="210000"/>
    <n v="90000"/>
    <n v="120000"/>
    <n v="0"/>
    <s v="Completed"/>
    <s v="Sandeep Rao"/>
    <s v="Bank Transfer"/>
    <n v="24"/>
    <n v="57.14"/>
    <n v="42000"/>
    <s v="North"/>
    <x v="1"/>
    <x v="1"/>
  </r>
  <r>
    <s v="ORD1390"/>
    <d v="2024-01-18T00:00:00"/>
    <s v="C029"/>
    <s v="Network Setup &amp; Config"/>
    <s v="IT Support"/>
    <n v="5"/>
    <n v="221000"/>
    <n v="110000"/>
    <n v="111000"/>
    <n v="15"/>
    <s v="In Progress"/>
    <s v="Amit Verma"/>
    <s v="Bank Transfer"/>
    <n v="24"/>
    <n v="50.23"/>
    <n v="44200"/>
    <s v="South"/>
    <x v="8"/>
    <x v="8"/>
  </r>
  <r>
    <s v="ORD1391"/>
    <d v="2024-03-29T00:00:00"/>
    <s v="C006"/>
    <s v="Cybersecurity Audit"/>
    <s v="Security Services"/>
    <n v="2"/>
    <n v="120000"/>
    <n v="50000"/>
    <n v="70000"/>
    <n v="0"/>
    <s v="Completed"/>
    <s v="Nikhil Gupta"/>
    <s v="Bank Transfer"/>
    <n v="24"/>
    <n v="58.33"/>
    <n v="60000"/>
    <s v="West"/>
    <x v="5"/>
    <x v="5"/>
  </r>
  <r>
    <s v="ORD1392"/>
    <d v="2024-04-13T00:00:00"/>
    <s v="C021"/>
    <s v="ERP Implementation"/>
    <s v="Software License"/>
    <n v="5"/>
    <n v="1045000"/>
    <n v="450000"/>
    <n v="595000"/>
    <n v="5"/>
    <s v="Completed"/>
    <s v="Priya Nair"/>
    <s v="Bank Transfer"/>
    <n v="24"/>
    <n v="56.94"/>
    <n v="209000"/>
    <s v="West"/>
    <x v="10"/>
    <x v="10"/>
  </r>
  <r>
    <s v="ORD1393"/>
    <d v="2024-10-11T00:00:00"/>
    <s v="C011"/>
    <s v="Firewall &amp; Network Security"/>
    <s v="Security Services"/>
    <n v="5"/>
    <n v="237500"/>
    <n v="100000"/>
    <n v="137500"/>
    <n v="5"/>
    <s v="Completed"/>
    <s v="Pooja Singh"/>
    <s v="Net Banking"/>
    <n v="24"/>
    <n v="57.89"/>
    <n v="47500"/>
    <s v="South"/>
    <x v="1"/>
    <x v="1"/>
  </r>
  <r>
    <s v="ORD1394"/>
    <d v="2024-02-27T00:00:00"/>
    <s v="C005"/>
    <s v="Web Portal Development"/>
    <s v="Development"/>
    <n v="5"/>
    <n v="652500"/>
    <n v="300000"/>
    <n v="352500"/>
    <n v="10"/>
    <s v="Completed"/>
    <s v="Priya Nair"/>
    <s v="Net Banking"/>
    <n v="3"/>
    <n v="54.02"/>
    <n v="130500"/>
    <s v="West"/>
    <x v="11"/>
    <x v="11"/>
  </r>
  <r>
    <s v="ORD1395"/>
    <d v="2024-05-26T00:00:00"/>
    <s v="C029"/>
    <s v="AI/ML Model Development"/>
    <s v="AI &amp; Automation"/>
    <n v="4"/>
    <n v="1064000"/>
    <n v="480000"/>
    <n v="584000"/>
    <n v="5"/>
    <s v="Completed"/>
    <s v="Sunita Pillai"/>
    <s v="Net Banking"/>
    <n v="24"/>
    <n v="54.89"/>
    <n v="266000"/>
    <s v="South"/>
    <x v="3"/>
    <x v="3"/>
  </r>
  <r>
    <s v="ORD1396"/>
    <d v="2024-11-17T00:00:00"/>
    <s v="C005"/>
    <s v="API Integration Service"/>
    <s v="Development"/>
    <n v="5"/>
    <n v="374000"/>
    <n v="190000"/>
    <n v="184000"/>
    <n v="15"/>
    <s v="Cancelled"/>
    <s v="Nikhil Gupta"/>
    <s v="Bank Transfer"/>
    <n v="24"/>
    <n v="49.2"/>
    <n v="74800"/>
    <s v="West"/>
    <x v="2"/>
    <x v="2"/>
  </r>
  <r>
    <s v="ORD1397"/>
    <d v="2024-06-18T00:00:00"/>
    <s v="C002"/>
    <s v="Annual AMC Contract"/>
    <s v="IT Support"/>
    <n v="3"/>
    <n v="119700"/>
    <n v="54000"/>
    <n v="65700"/>
    <n v="5"/>
    <s v="Completed"/>
    <s v="Kavita Joshi"/>
    <s v="Cheque"/>
    <n v="12"/>
    <n v="54.89"/>
    <n v="39900"/>
    <s v="West"/>
    <x v="6"/>
    <x v="6"/>
  </r>
  <r>
    <s v="ORD1398"/>
    <d v="2024-05-23T00:00:00"/>
    <s v="C028"/>
    <s v="Enterprise CRM Software"/>
    <s v="Software License"/>
    <n v="2"/>
    <n v="190000"/>
    <n v="80000"/>
    <n v="110000"/>
    <n v="0"/>
    <s v="Completed"/>
    <s v="Sunita Pillai"/>
    <s v="Cheque"/>
    <n v="12"/>
    <n v="57.89"/>
    <n v="95000"/>
    <s v="South"/>
    <x v="3"/>
    <x v="3"/>
  </r>
  <r>
    <s v="ORD1399"/>
    <d v="2024-08-01T00:00:00"/>
    <s v="C003"/>
    <s v="Cybersecurity Audit"/>
    <s v="Security Services"/>
    <n v="4"/>
    <n v="240000"/>
    <n v="100000"/>
    <n v="140000"/>
    <n v="0"/>
    <s v="Completed"/>
    <s v="Sunita Pillai"/>
    <s v="Net Banking"/>
    <n v="12"/>
    <n v="58.33"/>
    <n v="60000"/>
    <s v="South"/>
    <x v="9"/>
    <x v="9"/>
  </r>
  <r>
    <s v="ORD1400"/>
    <d v="2024-01-29T00:00:00"/>
    <s v="C006"/>
    <s v="AWS Management Package"/>
    <s v="Cloud Services"/>
    <n v="3"/>
    <n v="306000"/>
    <n v="150000"/>
    <n v="156000"/>
    <n v="15"/>
    <s v="In Progress"/>
    <s v="Nikhil Gupta"/>
    <s v="Credit Card"/>
    <n v="3"/>
    <n v="50.98"/>
    <n v="102000"/>
    <s v="West"/>
    <x v="8"/>
    <x v="8"/>
  </r>
  <r>
    <s v="ORD1401"/>
    <d v="2024-10-22T00:00:00"/>
    <s v="C027"/>
    <s v="Cloud Migration Service"/>
    <s v="Cloud Services"/>
    <n v="2"/>
    <n v="280000"/>
    <n v="120000"/>
    <n v="160000"/>
    <n v="0"/>
    <s v="Completed"/>
    <s v="Rohit Sharma"/>
    <s v="Cheque"/>
    <n v="6"/>
    <n v="57.14"/>
    <n v="140000"/>
    <s v="North"/>
    <x v="1"/>
    <x v="1"/>
  </r>
  <r>
    <s v="ORD1402"/>
    <d v="2024-05-20T00:00:00"/>
    <s v="C015"/>
    <s v="Network Setup &amp; Config"/>
    <s v="IT Support"/>
    <n v="4"/>
    <n v="176800"/>
    <n v="88000"/>
    <n v="88800"/>
    <n v="15"/>
    <s v="Completed"/>
    <s v="Rohit Sharma"/>
    <s v="Credit Card"/>
    <n v="12"/>
    <n v="50.23"/>
    <n v="44200"/>
    <s v="West"/>
    <x v="3"/>
    <x v="3"/>
  </r>
  <r>
    <s v="ORD1403"/>
    <d v="2024-09-07T00:00:00"/>
    <s v="C006"/>
    <s v="Annual AMC Contract"/>
    <s v="IT Support"/>
    <n v="5"/>
    <n v="189000"/>
    <n v="90000"/>
    <n v="99000"/>
    <n v="10"/>
    <s v="Completed"/>
    <s v="Kavita Joshi"/>
    <s v="Credit Card"/>
    <n v="12"/>
    <n v="52.38"/>
    <n v="37800"/>
    <s v="West"/>
    <x v="7"/>
    <x v="7"/>
  </r>
  <r>
    <s v="ORD1404"/>
    <d v="2024-09-30T00:00:00"/>
    <s v="C013"/>
    <s v="Cloud Migration Service"/>
    <s v="Cloud Services"/>
    <n v="2"/>
    <n v="224000"/>
    <n v="120000"/>
    <n v="104000"/>
    <n v="20"/>
    <s v="In Progress"/>
    <s v="Deepa Iyer"/>
    <s v="Credit Card"/>
    <n v="6"/>
    <n v="46.43"/>
    <n v="112000"/>
    <s v="North"/>
    <x v="7"/>
    <x v="7"/>
  </r>
  <r>
    <s v="ORD1405"/>
    <d v="2024-12-19T00:00:00"/>
    <s v="C014"/>
    <s v="Network Setup &amp; Config"/>
    <s v="IT Support"/>
    <n v="1"/>
    <n v="41600"/>
    <n v="22000"/>
    <n v="19600"/>
    <n v="20"/>
    <s v="Cancelled"/>
    <s v="Rohit Sharma"/>
    <s v="UPI"/>
    <n v="6"/>
    <n v="47.12"/>
    <n v="41600"/>
    <s v="South"/>
    <x v="0"/>
    <x v="0"/>
  </r>
  <r>
    <s v="ORD1406"/>
    <d v="2024-09-28T00:00:00"/>
    <s v="C008"/>
    <s v="Firewall &amp; Network Security"/>
    <s v="Security Services"/>
    <n v="5"/>
    <n v="200000"/>
    <n v="100000"/>
    <n v="100000"/>
    <n v="20"/>
    <s v="Completed"/>
    <s v="Sandeep Rao"/>
    <s v="UPI"/>
    <n v="24"/>
    <n v="50"/>
    <n v="40000"/>
    <s v="North"/>
    <x v="7"/>
    <x v="7"/>
  </r>
  <r>
    <s v="ORD1407"/>
    <d v="2024-06-27T00:00:00"/>
    <s v="C007"/>
    <s v="IT Support &amp; Maintenance"/>
    <s v="IT Support"/>
    <n v="3"/>
    <n v="89250"/>
    <n v="45000"/>
    <n v="44250"/>
    <n v="15"/>
    <s v="In Progress"/>
    <s v="Pooja Singh"/>
    <s v="UPI"/>
    <n v="3"/>
    <n v="49.58"/>
    <n v="29750"/>
    <s v="West"/>
    <x v="6"/>
    <x v="6"/>
  </r>
  <r>
    <s v="ORD1408"/>
    <d v="2024-01-04T00:00:00"/>
    <s v="C022"/>
    <s v="AI/ML Model Development"/>
    <s v="AI &amp; Automation"/>
    <n v="5"/>
    <n v="1190000"/>
    <n v="600000"/>
    <n v="590000"/>
    <n v="15"/>
    <s v="In Progress"/>
    <s v="Pooja Singh"/>
    <s v="Cheque"/>
    <n v="12"/>
    <n v="49.58"/>
    <n v="238000"/>
    <s v="South"/>
    <x v="8"/>
    <x v="8"/>
  </r>
  <r>
    <s v="ORD1409"/>
    <d v="2024-10-05T00:00:00"/>
    <s v="C011"/>
    <s v="Firewall &amp; Network Security"/>
    <s v="Security Services"/>
    <n v="3"/>
    <n v="120000"/>
    <n v="60000"/>
    <n v="60000"/>
    <n v="20"/>
    <s v="Completed"/>
    <s v="Sandeep Rao"/>
    <s v="Cheque"/>
    <n v="6"/>
    <n v="50"/>
    <n v="40000"/>
    <s v="South"/>
    <x v="1"/>
    <x v="1"/>
  </r>
  <r>
    <s v="ORD1410"/>
    <d v="2024-03-17T00:00:00"/>
    <s v="C008"/>
    <s v="Cloud Migration Service"/>
    <s v="Cloud Services"/>
    <n v="5"/>
    <n v="665000"/>
    <n v="300000"/>
    <n v="365000"/>
    <n v="5"/>
    <s v="Cancelled"/>
    <s v="Kavita Joshi"/>
    <s v="Credit Card"/>
    <n v="3"/>
    <n v="54.89"/>
    <n v="133000"/>
    <s v="North"/>
    <x v="5"/>
    <x v="5"/>
  </r>
  <r>
    <s v="ORD1411"/>
    <d v="2024-12-01T00:00:00"/>
    <s v="C010"/>
    <s v="Firewall &amp; Network Security"/>
    <s v="Security Services"/>
    <n v="4"/>
    <n v="190000"/>
    <n v="80000"/>
    <n v="110000"/>
    <n v="5"/>
    <s v="Completed"/>
    <s v="Rohit Sharma"/>
    <s v="Net Banking"/>
    <n v="6"/>
    <n v="57.89"/>
    <n v="47500"/>
    <s v="South"/>
    <x v="0"/>
    <x v="0"/>
  </r>
  <r>
    <s v="ORD1412"/>
    <d v="2024-06-24T00:00:00"/>
    <s v="C008"/>
    <s v="Mobile App Development"/>
    <s v="Development"/>
    <n v="4"/>
    <n v="680000"/>
    <n v="340000"/>
    <n v="340000"/>
    <n v="15"/>
    <s v="Completed"/>
    <s v="Arjun Mehta"/>
    <s v="Cheque"/>
    <n v="6"/>
    <n v="50"/>
    <n v="170000"/>
    <s v="North"/>
    <x v="6"/>
    <x v="6"/>
  </r>
  <r>
    <s v="ORD1413"/>
    <d v="2024-12-02T00:00:00"/>
    <s v="C006"/>
    <s v="Data Analytics Dashboard"/>
    <s v="Analytics"/>
    <n v="1"/>
    <n v="95000"/>
    <n v="45000"/>
    <n v="50000"/>
    <n v="5"/>
    <s v="Completed"/>
    <s v="Sandeep Rao"/>
    <s v="Net Banking"/>
    <n v="6"/>
    <n v="52.63"/>
    <n v="95000"/>
    <s v="West"/>
    <x v="0"/>
    <x v="0"/>
  </r>
  <r>
    <s v="ORD1414"/>
    <d v="2024-12-14T00:00:00"/>
    <s v="C021"/>
    <s v="AWS Management Package"/>
    <s v="Cloud Services"/>
    <n v="2"/>
    <n v="228000"/>
    <n v="100000"/>
    <n v="128000"/>
    <n v="5"/>
    <s v="Completed"/>
    <s v="Sandeep Rao"/>
    <s v="UPI"/>
    <n v="12"/>
    <n v="56.14"/>
    <n v="114000"/>
    <s v="West"/>
    <x v="0"/>
    <x v="0"/>
  </r>
  <r>
    <s v="ORD1415"/>
    <d v="2024-11-03T00:00:00"/>
    <s v="C015"/>
    <s v="Enterprise CRM Software"/>
    <s v="Software License"/>
    <n v="4"/>
    <n v="380000"/>
    <n v="160000"/>
    <n v="220000"/>
    <n v="0"/>
    <s v="Cancelled"/>
    <s v="Pooja Singh"/>
    <s v="Net Banking"/>
    <n v="3"/>
    <n v="57.89"/>
    <n v="95000"/>
    <s v="West"/>
    <x v="2"/>
    <x v="2"/>
  </r>
  <r>
    <s v="ORD1416"/>
    <d v="2024-08-29T00:00:00"/>
    <s v="C017"/>
    <s v="Enterprise CRM Software"/>
    <s v="Software License"/>
    <n v="4"/>
    <n v="342000"/>
    <n v="160000"/>
    <n v="182000"/>
    <n v="10"/>
    <s v="Completed"/>
    <s v="Nikhil Gupta"/>
    <s v="Bank Transfer"/>
    <n v="6"/>
    <n v="53.22"/>
    <n v="85500"/>
    <s v="South"/>
    <x v="9"/>
    <x v="9"/>
  </r>
  <r>
    <s v="ORD1417"/>
    <d v="2024-03-11T00:00:00"/>
    <s v="C011"/>
    <s v="RPA Implementation"/>
    <s v="AI &amp; Automation"/>
    <n v="5"/>
    <n v="760000"/>
    <n v="350000"/>
    <n v="410000"/>
    <n v="5"/>
    <s v="Completed"/>
    <s v="Kavita Joshi"/>
    <s v="Credit Card"/>
    <n v="3"/>
    <n v="53.95"/>
    <n v="152000"/>
    <s v="South"/>
    <x v="5"/>
    <x v="5"/>
  </r>
  <r>
    <s v="ORD1418"/>
    <d v="2024-09-06T00:00:00"/>
    <s v="C006"/>
    <s v="Business Intelligence Report"/>
    <s v="Analytics"/>
    <n v="1"/>
    <n v="65000"/>
    <n v="28000"/>
    <n v="37000"/>
    <n v="0"/>
    <s v="Completed"/>
    <s v="Sandeep Rao"/>
    <s v="Credit Card"/>
    <n v="6"/>
    <n v="56.92"/>
    <n v="65000"/>
    <s v="West"/>
    <x v="7"/>
    <x v="7"/>
  </r>
  <r>
    <s v="ORD1419"/>
    <d v="2024-10-22T00:00:00"/>
    <s v="C016"/>
    <s v="AWS Management Package"/>
    <s v="Cloud Services"/>
    <n v="2"/>
    <n v="216000"/>
    <n v="100000"/>
    <n v="116000"/>
    <n v="10"/>
    <s v="Completed"/>
    <s v="Nikhil Gupta"/>
    <s v="UPI"/>
    <n v="24"/>
    <n v="53.7"/>
    <n v="108000"/>
    <s v="South"/>
    <x v="1"/>
    <x v="1"/>
  </r>
  <r>
    <s v="ORD1420"/>
    <d v="2024-09-01T00:00:00"/>
    <s v="C002"/>
    <s v="Mobile App Development"/>
    <s v="Development"/>
    <n v="2"/>
    <n v="340000"/>
    <n v="170000"/>
    <n v="170000"/>
    <n v="15"/>
    <s v="Completed"/>
    <s v="Rohit Sharma"/>
    <s v="Cheque"/>
    <n v="6"/>
    <n v="50"/>
    <n v="170000"/>
    <s v="West"/>
    <x v="7"/>
    <x v="7"/>
  </r>
  <r>
    <s v="ORD1421"/>
    <d v="2024-01-10T00:00:00"/>
    <s v="C021"/>
    <s v="Penetration Testing"/>
    <s v="Security Services"/>
    <n v="2"/>
    <n v="119000"/>
    <n v="60000"/>
    <n v="59000"/>
    <n v="15"/>
    <s v="Completed"/>
    <s v="Sandeep Rao"/>
    <s v="Credit Card"/>
    <n v="3"/>
    <n v="49.58"/>
    <n v="59500"/>
    <s v="West"/>
    <x v="8"/>
    <x v="8"/>
  </r>
  <r>
    <s v="ORD1422"/>
    <d v="2024-07-15T00:00:00"/>
    <s v="C010"/>
    <s v="HR Management System"/>
    <s v="Software License"/>
    <n v="1"/>
    <n v="64000"/>
    <n v="35000"/>
    <n v="29000"/>
    <n v="20"/>
    <s v="Completed"/>
    <s v="Sandeep Rao"/>
    <s v="Cheque"/>
    <n v="24"/>
    <n v="45.31"/>
    <n v="64000"/>
    <s v="South"/>
    <x v="4"/>
    <x v="4"/>
  </r>
  <r>
    <s v="ORD1423"/>
    <d v="2024-09-23T00:00:00"/>
    <s v="C011"/>
    <s v="RPA Implementation"/>
    <s v="AI &amp; Automation"/>
    <n v="2"/>
    <n v="304000"/>
    <n v="140000"/>
    <n v="164000"/>
    <n v="5"/>
    <s v="Completed"/>
    <s v="Kavita Joshi"/>
    <s v="Credit Card"/>
    <n v="6"/>
    <n v="53.95"/>
    <n v="152000"/>
    <s v="South"/>
    <x v="7"/>
    <x v="7"/>
  </r>
  <r>
    <s v="ORD1424"/>
    <d v="2024-10-25T00:00:00"/>
    <s v="C024"/>
    <s v="ERP Implementation"/>
    <s v="Software License"/>
    <n v="2"/>
    <n v="374000"/>
    <n v="180000"/>
    <n v="194000"/>
    <n v="15"/>
    <s v="Completed"/>
    <s v="Pooja Singh"/>
    <s v="Net Banking"/>
    <n v="6"/>
    <n v="51.87"/>
    <n v="187000"/>
    <s v="North"/>
    <x v="1"/>
    <x v="1"/>
  </r>
  <r>
    <s v="ORD1425"/>
    <d v="2024-03-04T00:00:00"/>
    <s v="C021"/>
    <s v="Cloud Migration Service"/>
    <s v="Cloud Services"/>
    <n v="4"/>
    <n v="476000"/>
    <n v="240000"/>
    <n v="236000"/>
    <n v="15"/>
    <s v="Completed"/>
    <s v="Arjun Mehta"/>
    <s v="Net Banking"/>
    <n v="3"/>
    <n v="49.58"/>
    <n v="119000"/>
    <s v="West"/>
    <x v="5"/>
    <x v="5"/>
  </r>
  <r>
    <s v="ORD1426"/>
    <d v="2024-10-31T00:00:00"/>
    <s v="C022"/>
    <s v="Enterprise CRM Software"/>
    <s v="Software License"/>
    <n v="1"/>
    <n v="95000"/>
    <n v="40000"/>
    <n v="55000"/>
    <n v="0"/>
    <s v="Cancelled"/>
    <s v="Priya Nair"/>
    <s v="UPI"/>
    <n v="24"/>
    <n v="57.89"/>
    <n v="95000"/>
    <s v="South"/>
    <x v="1"/>
    <x v="1"/>
  </r>
  <r>
    <s v="ORD1427"/>
    <d v="2024-10-29T00:00:00"/>
    <s v="C016"/>
    <s v="ERP Implementation"/>
    <s v="Software License"/>
    <n v="2"/>
    <n v="374000"/>
    <n v="180000"/>
    <n v="194000"/>
    <n v="15"/>
    <s v="Cancelled"/>
    <s v="Rohit Sharma"/>
    <s v="Cheque"/>
    <n v="24"/>
    <n v="51.87"/>
    <n v="187000"/>
    <s v="South"/>
    <x v="1"/>
    <x v="1"/>
  </r>
  <r>
    <s v="ORD1428"/>
    <d v="2024-12-02T00:00:00"/>
    <s v="C009"/>
    <s v="API Integration Service"/>
    <s v="Development"/>
    <n v="5"/>
    <n v="374000"/>
    <n v="190000"/>
    <n v="184000"/>
    <n v="15"/>
    <s v="Completed"/>
    <s v="Nikhil Gupta"/>
    <s v="Bank Transfer"/>
    <n v="3"/>
    <n v="49.2"/>
    <n v="74800"/>
    <s v="South"/>
    <x v="0"/>
    <x v="0"/>
  </r>
  <r>
    <s v="ORD1429"/>
    <d v="2024-10-10T00:00:00"/>
    <s v="C016"/>
    <s v="Cybersecurity Audit"/>
    <s v="Security Services"/>
    <n v="5"/>
    <n v="300000"/>
    <n v="125000"/>
    <n v="175000"/>
    <n v="0"/>
    <s v="Completed"/>
    <s v="Arjun Mehta"/>
    <s v="Credit Card"/>
    <n v="12"/>
    <n v="58.33"/>
    <n v="60000"/>
    <s v="South"/>
    <x v="1"/>
    <x v="1"/>
  </r>
  <r>
    <s v="ORD1430"/>
    <d v="2024-12-26T00:00:00"/>
    <s v="C006"/>
    <s v="Cloud Migration Service"/>
    <s v="Cloud Services"/>
    <n v="5"/>
    <n v="665000"/>
    <n v="300000"/>
    <n v="365000"/>
    <n v="5"/>
    <s v="Completed"/>
    <s v="Sunita Pillai"/>
    <s v="Cheque"/>
    <n v="6"/>
    <n v="54.89"/>
    <n v="133000"/>
    <s v="West"/>
    <x v="0"/>
    <x v="0"/>
  </r>
  <r>
    <s v="ORD1431"/>
    <d v="2024-10-08T00:00:00"/>
    <s v="C030"/>
    <s v="Enterprise CRM Software"/>
    <s v="Software License"/>
    <n v="5"/>
    <n v="403750"/>
    <n v="200000"/>
    <n v="203750"/>
    <n v="15"/>
    <s v="Completed"/>
    <s v="Amit Verma"/>
    <s v="Bank Transfer"/>
    <n v="3"/>
    <n v="50.46"/>
    <n v="80750"/>
    <s v="North"/>
    <x v="1"/>
    <x v="1"/>
  </r>
  <r>
    <s v="ORD1432"/>
    <d v="2024-02-21T00:00:00"/>
    <s v="C021"/>
    <s v="Penetration Testing"/>
    <s v="Security Services"/>
    <n v="4"/>
    <n v="266000"/>
    <n v="120000"/>
    <n v="146000"/>
    <n v="5"/>
    <s v="Completed"/>
    <s v="Sunita Pillai"/>
    <s v="Bank Transfer"/>
    <n v="3"/>
    <n v="54.89"/>
    <n v="66500"/>
    <s v="West"/>
    <x v="11"/>
    <x v="11"/>
  </r>
  <r>
    <s v="ORD1433"/>
    <d v="2024-03-30T00:00:00"/>
    <s v="C028"/>
    <s v="Data Analytics Dashboard"/>
    <s v="Analytics"/>
    <n v="3"/>
    <n v="240000"/>
    <n v="135000"/>
    <n v="105000"/>
    <n v="20"/>
    <s v="Cancelled"/>
    <s v="Kavita Joshi"/>
    <s v="UPI"/>
    <n v="3"/>
    <n v="43.75"/>
    <n v="80000"/>
    <s v="South"/>
    <x v="5"/>
    <x v="5"/>
  </r>
  <r>
    <s v="ORD1434"/>
    <d v="2024-02-18T00:00:00"/>
    <s v="C029"/>
    <s v="Cloud Migration Service"/>
    <s v="Cloud Services"/>
    <n v="1"/>
    <n v="112000"/>
    <n v="60000"/>
    <n v="52000"/>
    <n v="20"/>
    <s v="Completed"/>
    <s v="Amit Verma"/>
    <s v="Cheque"/>
    <n v="12"/>
    <n v="46.43"/>
    <n v="112000"/>
    <s v="South"/>
    <x v="11"/>
    <x v="11"/>
  </r>
  <r>
    <s v="ORD1435"/>
    <d v="2024-08-12T00:00:00"/>
    <s v="C009"/>
    <s v="AWS Management Package"/>
    <s v="Cloud Services"/>
    <n v="3"/>
    <n v="288000"/>
    <n v="150000"/>
    <n v="138000"/>
    <n v="20"/>
    <s v="Completed"/>
    <s v="Amit Verma"/>
    <s v="Bank Transfer"/>
    <n v="24"/>
    <n v="47.92"/>
    <n v="96000"/>
    <s v="South"/>
    <x v="9"/>
    <x v="9"/>
  </r>
  <r>
    <s v="ORD1436"/>
    <d v="2024-07-23T00:00:00"/>
    <s v="C009"/>
    <s v="Chatbot Development"/>
    <s v="AI &amp; Automation"/>
    <n v="4"/>
    <n v="416000"/>
    <n v="220000"/>
    <n v="196000"/>
    <n v="20"/>
    <s v="Completed"/>
    <s v="Amit Verma"/>
    <s v="Bank Transfer"/>
    <n v="6"/>
    <n v="47.12"/>
    <n v="104000"/>
    <s v="South"/>
    <x v="4"/>
    <x v="4"/>
  </r>
  <r>
    <s v="ORD1437"/>
    <d v="2024-12-22T00:00:00"/>
    <s v="C028"/>
    <s v="HR Management System"/>
    <s v="Software License"/>
    <n v="1"/>
    <n v="76000"/>
    <n v="35000"/>
    <n v="41000"/>
    <n v="5"/>
    <s v="In Progress"/>
    <s v="Sunita Pillai"/>
    <s v="Net Banking"/>
    <n v="24"/>
    <n v="53.95"/>
    <n v="76000"/>
    <s v="South"/>
    <x v="0"/>
    <x v="0"/>
  </r>
  <r>
    <s v="ORD1438"/>
    <d v="2024-04-02T00:00:00"/>
    <s v="C025"/>
    <s v="AI/ML Model Development"/>
    <s v="AI &amp; Automation"/>
    <n v="5"/>
    <n v="1400000"/>
    <n v="600000"/>
    <n v="800000"/>
    <n v="0"/>
    <s v="Cancelled"/>
    <s v="Amit Verma"/>
    <s v="UPI"/>
    <n v="24"/>
    <n v="57.14"/>
    <n v="280000"/>
    <s v="North"/>
    <x v="10"/>
    <x v="10"/>
  </r>
  <r>
    <s v="ORD1439"/>
    <d v="2024-02-27T00:00:00"/>
    <s v="C015"/>
    <s v="Cloud Migration Service"/>
    <s v="Cloud Services"/>
    <n v="1"/>
    <n v="133000"/>
    <n v="60000"/>
    <n v="73000"/>
    <n v="5"/>
    <s v="Cancelled"/>
    <s v="Kavita Joshi"/>
    <s v="Bank Transfer"/>
    <n v="6"/>
    <n v="54.89"/>
    <n v="133000"/>
    <s v="West"/>
    <x v="11"/>
    <x v="11"/>
  </r>
  <r>
    <s v="ORD1440"/>
    <d v="2024-12-08T00:00:00"/>
    <s v="C017"/>
    <s v="Network Setup &amp; Config"/>
    <s v="IT Support"/>
    <n v="5"/>
    <n v="260000"/>
    <n v="110000"/>
    <n v="150000"/>
    <n v="0"/>
    <s v="Completed"/>
    <s v="Deepa Iyer"/>
    <s v="UPI"/>
    <n v="12"/>
    <n v="57.69"/>
    <n v="52000"/>
    <s v="South"/>
    <x v="0"/>
    <x v="0"/>
  </r>
  <r>
    <s v="ORD1441"/>
    <d v="2024-12-05T00:00:00"/>
    <s v="C013"/>
    <s v="ERP Implementation"/>
    <s v="Software License"/>
    <n v="5"/>
    <n v="990000"/>
    <n v="450000"/>
    <n v="540000"/>
    <n v="10"/>
    <s v="Completed"/>
    <s v="Rohit Sharma"/>
    <s v="Credit Card"/>
    <n v="24"/>
    <n v="54.55"/>
    <n v="198000"/>
    <s v="North"/>
    <x v="0"/>
    <x v="0"/>
  </r>
  <r>
    <s v="ORD1442"/>
    <d v="2024-09-10T00:00:00"/>
    <s v="C003"/>
    <s v="Annual AMC Contract"/>
    <s v="IT Support"/>
    <n v="3"/>
    <n v="126000"/>
    <n v="54000"/>
    <n v="72000"/>
    <n v="0"/>
    <s v="Completed"/>
    <s v="Sandeep Rao"/>
    <s v="Bank Transfer"/>
    <n v="6"/>
    <n v="57.14"/>
    <n v="42000"/>
    <s v="South"/>
    <x v="7"/>
    <x v="7"/>
  </r>
  <r>
    <s v="ORD1443"/>
    <d v="2024-10-08T00:00:00"/>
    <s v="C013"/>
    <s v="Penetration Testing"/>
    <s v="Security Services"/>
    <n v="1"/>
    <n v="66500"/>
    <n v="30000"/>
    <n v="36500"/>
    <n v="5"/>
    <s v="Completed"/>
    <s v="Pooja Singh"/>
    <s v="UPI"/>
    <n v="3"/>
    <n v="54.89"/>
    <n v="66500"/>
    <s v="North"/>
    <x v="1"/>
    <x v="1"/>
  </r>
  <r>
    <s v="ORD1444"/>
    <d v="2024-09-12T00:00:00"/>
    <s v="C004"/>
    <s v="Annual AMC Contract"/>
    <s v="IT Support"/>
    <n v="1"/>
    <n v="42000"/>
    <n v="18000"/>
    <n v="24000"/>
    <n v="0"/>
    <s v="Completed"/>
    <s v="Nikhil Gupta"/>
    <s v="Bank Transfer"/>
    <n v="3"/>
    <n v="57.14"/>
    <n v="42000"/>
    <s v="North"/>
    <x v="7"/>
    <x v="7"/>
  </r>
  <r>
    <s v="ORD1445"/>
    <d v="2024-02-16T00:00:00"/>
    <s v="C020"/>
    <s v="Data Analytics Dashboard"/>
    <s v="Analytics"/>
    <n v="5"/>
    <n v="450000"/>
    <n v="225000"/>
    <n v="225000"/>
    <n v="10"/>
    <s v="Completed"/>
    <s v="Sunita Pillai"/>
    <s v="Cheque"/>
    <n v="12"/>
    <n v="50"/>
    <n v="90000"/>
    <s v="North"/>
    <x v="11"/>
    <x v="11"/>
  </r>
  <r>
    <s v="ORD1446"/>
    <d v="2024-01-28T00:00:00"/>
    <s v="C028"/>
    <s v="IT Support &amp; Maintenance"/>
    <s v="IT Support"/>
    <n v="3"/>
    <n v="94500"/>
    <n v="45000"/>
    <n v="49500"/>
    <n v="10"/>
    <s v="In Progress"/>
    <s v="Pooja Singh"/>
    <s v="UPI"/>
    <n v="12"/>
    <n v="52.38"/>
    <n v="31500"/>
    <s v="South"/>
    <x v="8"/>
    <x v="8"/>
  </r>
  <r>
    <s v="ORD1447"/>
    <d v="2024-12-20T00:00:00"/>
    <s v="C008"/>
    <s v="Cloud Infrastructure Setup"/>
    <s v="Cloud Services"/>
    <n v="3"/>
    <n v="513000"/>
    <n v="240000"/>
    <n v="273000"/>
    <n v="5"/>
    <s v="Cancelled"/>
    <s v="Sandeep Rao"/>
    <s v="Net Banking"/>
    <n v="12"/>
    <n v="53.22"/>
    <n v="171000"/>
    <s v="North"/>
    <x v="0"/>
    <x v="0"/>
  </r>
  <r>
    <s v="ORD1448"/>
    <d v="2024-10-18T00:00:00"/>
    <s v="C016"/>
    <s v="ERP Implementation"/>
    <s v="Software License"/>
    <n v="4"/>
    <n v="880000"/>
    <n v="360000"/>
    <n v="520000"/>
    <n v="0"/>
    <s v="Completed"/>
    <s v="Pooja Singh"/>
    <s v="Credit Card"/>
    <n v="6"/>
    <n v="59.09"/>
    <n v="220000"/>
    <s v="South"/>
    <x v="1"/>
    <x v="1"/>
  </r>
  <r>
    <s v="ORD1449"/>
    <d v="2024-03-02T00:00:00"/>
    <s v="C013"/>
    <s v="Cybersecurity Audit"/>
    <s v="Security Services"/>
    <n v="4"/>
    <n v="192000"/>
    <n v="100000"/>
    <n v="92000"/>
    <n v="20"/>
    <s v="Completed"/>
    <s v="Kavita Joshi"/>
    <s v="Bank Transfer"/>
    <n v="24"/>
    <n v="47.92"/>
    <n v="48000"/>
    <s v="North"/>
    <x v="5"/>
    <x v="5"/>
  </r>
  <r>
    <s v="ORD1450"/>
    <d v="2024-01-24T00:00:00"/>
    <s v="C027"/>
    <s v="Web Portal Development"/>
    <s v="Development"/>
    <n v="1"/>
    <n v="116000"/>
    <n v="60000"/>
    <n v="56000"/>
    <n v="20"/>
    <s v="Completed"/>
    <s v="Sunita Pillai"/>
    <s v="Net Banking"/>
    <n v="6"/>
    <n v="48.28"/>
    <n v="116000"/>
    <s v="North"/>
    <x v="8"/>
    <x v="8"/>
  </r>
  <r>
    <s v="ORD1451"/>
    <d v="2024-12-30T00:00:00"/>
    <s v="C002"/>
    <s v="Mobile App Development"/>
    <s v="Development"/>
    <n v="4"/>
    <n v="640000"/>
    <n v="340000"/>
    <n v="300000"/>
    <n v="20"/>
    <s v="In Progress"/>
    <s v="Sunita Pillai"/>
    <s v="Net Banking"/>
    <n v="6"/>
    <n v="46.88"/>
    <n v="160000"/>
    <s v="West"/>
    <x v="0"/>
    <x v="0"/>
  </r>
  <r>
    <s v="ORD1452"/>
    <d v="2024-12-20T00:00:00"/>
    <s v="C024"/>
    <s v="ERP Implementation"/>
    <s v="Software License"/>
    <n v="1"/>
    <n v="209000"/>
    <n v="90000"/>
    <n v="119000"/>
    <n v="5"/>
    <s v="Cancelled"/>
    <s v="Pooja Singh"/>
    <s v="Net Banking"/>
    <n v="12"/>
    <n v="56.94"/>
    <n v="209000"/>
    <s v="North"/>
    <x v="0"/>
    <x v="0"/>
  </r>
  <r>
    <s v="ORD1453"/>
    <d v="2024-09-15T00:00:00"/>
    <s v="C014"/>
    <s v="API Integration Service"/>
    <s v="Development"/>
    <n v="2"/>
    <n v="167200"/>
    <n v="76000"/>
    <n v="91200"/>
    <n v="5"/>
    <s v="Completed"/>
    <s v="Kavita Joshi"/>
    <s v="Cheque"/>
    <n v="24"/>
    <n v="54.55"/>
    <n v="83600"/>
    <s v="South"/>
    <x v="7"/>
    <x v="7"/>
  </r>
  <r>
    <s v="ORD1454"/>
    <d v="2024-12-13T00:00:00"/>
    <s v="C023"/>
    <s v="Network Setup &amp; Config"/>
    <s v="IT Support"/>
    <n v="3"/>
    <n v="124800"/>
    <n v="66000"/>
    <n v="58800"/>
    <n v="20"/>
    <s v="Cancelled"/>
    <s v="Arjun Mehta"/>
    <s v="Cheque"/>
    <n v="6"/>
    <n v="47.12"/>
    <n v="41600"/>
    <s v="South"/>
    <x v="0"/>
    <x v="0"/>
  </r>
  <r>
    <s v="ORD1455"/>
    <d v="2024-12-27T00:00:00"/>
    <s v="C010"/>
    <s v="AI/ML Model Development"/>
    <s v="AI &amp; Automation"/>
    <n v="2"/>
    <n v="476000"/>
    <n v="240000"/>
    <n v="236000"/>
    <n v="15"/>
    <s v="Cancelled"/>
    <s v="Amit Verma"/>
    <s v="Net Banking"/>
    <n v="12"/>
    <n v="49.58"/>
    <n v="238000"/>
    <s v="South"/>
    <x v="0"/>
    <x v="0"/>
  </r>
  <r>
    <s v="ORD1456"/>
    <d v="2024-11-11T00:00:00"/>
    <s v="C018"/>
    <s v="Annual AMC Contract"/>
    <s v="IT Support"/>
    <n v="5"/>
    <n v="189000"/>
    <n v="90000"/>
    <n v="99000"/>
    <n v="10"/>
    <s v="Cancelled"/>
    <s v="Nikhil Gupta"/>
    <s v="Net Banking"/>
    <n v="12"/>
    <n v="52.38"/>
    <n v="37800"/>
    <s v="South"/>
    <x v="2"/>
    <x v="2"/>
  </r>
  <r>
    <s v="ORD1457"/>
    <d v="2024-08-04T00:00:00"/>
    <s v="C017"/>
    <s v="Enterprise CRM Software"/>
    <s v="Software License"/>
    <n v="1"/>
    <n v="90250"/>
    <n v="40000"/>
    <n v="50250"/>
    <n v="5"/>
    <s v="Completed"/>
    <s v="Rohit Sharma"/>
    <s v="Bank Transfer"/>
    <n v="6"/>
    <n v="55.68"/>
    <n v="90250"/>
    <s v="South"/>
    <x v="9"/>
    <x v="9"/>
  </r>
  <r>
    <s v="ORD1458"/>
    <d v="2024-05-16T00:00:00"/>
    <s v="C006"/>
    <s v="Data Analytics Dashboard"/>
    <s v="Analytics"/>
    <n v="3"/>
    <n v="300000"/>
    <n v="135000"/>
    <n v="165000"/>
    <n v="0"/>
    <s v="Completed"/>
    <s v="Sandeep Rao"/>
    <s v="Credit Card"/>
    <n v="3"/>
    <n v="55"/>
    <n v="100000"/>
    <s v="West"/>
    <x v="3"/>
    <x v="3"/>
  </r>
  <r>
    <s v="ORD1459"/>
    <d v="2024-07-02T00:00:00"/>
    <s v="C004"/>
    <s v="API Integration Service"/>
    <s v="Development"/>
    <n v="5"/>
    <n v="352000"/>
    <n v="190000"/>
    <n v="162000"/>
    <n v="20"/>
    <s v="Completed"/>
    <s v="Arjun Mehta"/>
    <s v="UPI"/>
    <n v="6"/>
    <n v="46.02"/>
    <n v="70400"/>
    <s v="North"/>
    <x v="4"/>
    <x v="4"/>
  </r>
  <r>
    <s v="ORD1460"/>
    <d v="2024-09-18T00:00:00"/>
    <s v="C026"/>
    <s v="Data Analytics Dashboard"/>
    <s v="Analytics"/>
    <n v="1"/>
    <n v="95000"/>
    <n v="45000"/>
    <n v="50000"/>
    <n v="5"/>
    <s v="Completed"/>
    <s v="Nikhil Gupta"/>
    <s v="Cheque"/>
    <n v="3"/>
    <n v="52.63"/>
    <n v="95000"/>
    <s v="North"/>
    <x v="7"/>
    <x v="7"/>
  </r>
  <r>
    <s v="ORD1461"/>
    <d v="2024-01-07T00:00:00"/>
    <s v="C007"/>
    <s v="API Integration Service"/>
    <s v="Development"/>
    <n v="4"/>
    <n v="281600"/>
    <n v="152000"/>
    <n v="129600"/>
    <n v="20"/>
    <s v="Completed"/>
    <s v="Kavita Joshi"/>
    <s v="Net Banking"/>
    <n v="6"/>
    <n v="46.02"/>
    <n v="70400"/>
    <s v="West"/>
    <x v="8"/>
    <x v="8"/>
  </r>
  <r>
    <s v="ORD1462"/>
    <d v="2024-10-19T00:00:00"/>
    <s v="C022"/>
    <s v="AWS Management Package"/>
    <s v="Cloud Services"/>
    <n v="2"/>
    <n v="240000"/>
    <n v="100000"/>
    <n v="140000"/>
    <n v="0"/>
    <s v="Cancelled"/>
    <s v="Arjun Mehta"/>
    <s v="Bank Transfer"/>
    <n v="24"/>
    <n v="58.33"/>
    <n v="120000"/>
    <s v="South"/>
    <x v="1"/>
    <x v="1"/>
  </r>
  <r>
    <s v="ORD1463"/>
    <d v="2024-01-21T00:00:00"/>
    <s v="C018"/>
    <s v="Firewall &amp; Network Security"/>
    <s v="Security Services"/>
    <n v="2"/>
    <n v="100000"/>
    <n v="40000"/>
    <n v="60000"/>
    <n v="0"/>
    <s v="In Progress"/>
    <s v="Sandeep Rao"/>
    <s v="Bank Transfer"/>
    <n v="12"/>
    <n v="60"/>
    <n v="50000"/>
    <s v="South"/>
    <x v="8"/>
    <x v="8"/>
  </r>
  <r>
    <s v="ORD1464"/>
    <d v="2024-08-26T00:00:00"/>
    <s v="C005"/>
    <s v="Cloud Migration Service"/>
    <s v="Cloud Services"/>
    <n v="2"/>
    <n v="266000"/>
    <n v="120000"/>
    <n v="146000"/>
    <n v="5"/>
    <s v="In Progress"/>
    <s v="Rohit Sharma"/>
    <s v="Net Banking"/>
    <n v="12"/>
    <n v="54.89"/>
    <n v="133000"/>
    <s v="West"/>
    <x v="9"/>
    <x v="9"/>
  </r>
  <r>
    <s v="ORD1465"/>
    <d v="2024-09-08T00:00:00"/>
    <s v="C018"/>
    <s v="AI/ML Model Development"/>
    <s v="AI &amp; Automation"/>
    <n v="1"/>
    <n v="224000"/>
    <n v="120000"/>
    <n v="104000"/>
    <n v="20"/>
    <s v="Cancelled"/>
    <s v="Kavita Joshi"/>
    <s v="Net Banking"/>
    <n v="6"/>
    <n v="46.43"/>
    <n v="224000"/>
    <s v="South"/>
    <x v="7"/>
    <x v="7"/>
  </r>
  <r>
    <s v="ORD1466"/>
    <d v="2024-04-04T00:00:00"/>
    <s v="C026"/>
    <s v="Network Setup &amp; Config"/>
    <s v="IT Support"/>
    <n v="2"/>
    <n v="98800"/>
    <n v="44000"/>
    <n v="54800"/>
    <n v="5"/>
    <s v="In Progress"/>
    <s v="Arjun Mehta"/>
    <s v="UPI"/>
    <n v="3"/>
    <n v="55.47"/>
    <n v="49400"/>
    <s v="North"/>
    <x v="10"/>
    <x v="10"/>
  </r>
  <r>
    <s v="ORD1467"/>
    <d v="2024-10-24T00:00:00"/>
    <s v="C022"/>
    <s v="Business Intelligence Report"/>
    <s v="Analytics"/>
    <n v="3"/>
    <n v="185250"/>
    <n v="84000"/>
    <n v="101250"/>
    <n v="5"/>
    <s v="Completed"/>
    <s v="Deepa Iyer"/>
    <s v="Net Banking"/>
    <n v="24"/>
    <n v="54.66"/>
    <n v="61750"/>
    <s v="South"/>
    <x v="1"/>
    <x v="1"/>
  </r>
  <r>
    <s v="ORD1468"/>
    <d v="2024-10-14T00:00:00"/>
    <s v="C021"/>
    <s v="Cloud Infrastructure Setup"/>
    <s v="Cloud Services"/>
    <n v="1"/>
    <n v="153000"/>
    <n v="80000"/>
    <n v="73000"/>
    <n v="15"/>
    <s v="Completed"/>
    <s v="Sunita Pillai"/>
    <s v="Credit Card"/>
    <n v="6"/>
    <n v="47.71"/>
    <n v="153000"/>
    <s v="West"/>
    <x v="1"/>
    <x v="1"/>
  </r>
  <r>
    <s v="ORD1469"/>
    <d v="2024-01-21T00:00:00"/>
    <s v="C011"/>
    <s v="Chatbot Development"/>
    <s v="AI &amp; Automation"/>
    <n v="1"/>
    <n v="123500"/>
    <n v="55000"/>
    <n v="68500"/>
    <n v="5"/>
    <s v="Completed"/>
    <s v="Arjun Mehta"/>
    <s v="Cheque"/>
    <n v="3"/>
    <n v="55.47"/>
    <n v="123500"/>
    <s v="South"/>
    <x v="8"/>
    <x v="8"/>
  </r>
  <r>
    <s v="ORD1470"/>
    <d v="2024-09-21T00:00:00"/>
    <s v="C012"/>
    <s v="Network Setup &amp; Config"/>
    <s v="IT Support"/>
    <n v="5"/>
    <n v="247000"/>
    <n v="110000"/>
    <n v="137000"/>
    <n v="5"/>
    <s v="Completed"/>
    <s v="Rohit Sharma"/>
    <s v="Cheque"/>
    <n v="6"/>
    <n v="55.47"/>
    <n v="49400"/>
    <s v="North"/>
    <x v="7"/>
    <x v="7"/>
  </r>
  <r>
    <s v="ORD1471"/>
    <d v="2024-06-13T00:00:00"/>
    <s v="C004"/>
    <s v="HR Management System"/>
    <s v="Software License"/>
    <n v="5"/>
    <n v="360000"/>
    <n v="175000"/>
    <n v="185000"/>
    <n v="10"/>
    <s v="Completed"/>
    <s v="Priya Nair"/>
    <s v="Credit Card"/>
    <n v="6"/>
    <n v="51.39"/>
    <n v="72000"/>
    <s v="North"/>
    <x v="6"/>
    <x v="6"/>
  </r>
  <r>
    <s v="ORD1472"/>
    <d v="2024-12-16T00:00:00"/>
    <s v="C004"/>
    <s v="Cybersecurity Audit"/>
    <s v="Security Services"/>
    <n v="5"/>
    <n v="240000"/>
    <n v="125000"/>
    <n v="115000"/>
    <n v="20"/>
    <s v="Cancelled"/>
    <s v="Nikhil Gupta"/>
    <s v="Bank Transfer"/>
    <n v="6"/>
    <n v="47.92"/>
    <n v="48000"/>
    <s v="North"/>
    <x v="0"/>
    <x v="0"/>
  </r>
  <r>
    <s v="ORD1473"/>
    <d v="2024-01-13T00:00:00"/>
    <s v="C011"/>
    <s v="Cloud Migration Service"/>
    <s v="Cloud Services"/>
    <n v="1"/>
    <n v="140000"/>
    <n v="60000"/>
    <n v="80000"/>
    <n v="0"/>
    <s v="Completed"/>
    <s v="Amit Verma"/>
    <s v="Cheque"/>
    <n v="3"/>
    <n v="57.14"/>
    <n v="140000"/>
    <s v="South"/>
    <x v="8"/>
    <x v="8"/>
  </r>
  <r>
    <s v="ORD1474"/>
    <d v="2024-10-21T00:00:00"/>
    <s v="C030"/>
    <s v="Firewall &amp; Network Security"/>
    <s v="Security Services"/>
    <n v="4"/>
    <n v="190000"/>
    <n v="80000"/>
    <n v="110000"/>
    <n v="5"/>
    <s v="Completed"/>
    <s v="Nikhil Gupta"/>
    <s v="UPI"/>
    <n v="12"/>
    <n v="57.89"/>
    <n v="47500"/>
    <s v="North"/>
    <x v="1"/>
    <x v="1"/>
  </r>
  <r>
    <s v="ORD1475"/>
    <d v="2024-01-09T00:00:00"/>
    <s v="C004"/>
    <s v="Mobile App Development"/>
    <s v="Development"/>
    <n v="1"/>
    <n v="170000"/>
    <n v="85000"/>
    <n v="85000"/>
    <n v="15"/>
    <s v="Cancelled"/>
    <s v="Pooja Singh"/>
    <s v="Bank Transfer"/>
    <n v="3"/>
    <n v="50"/>
    <n v="170000"/>
    <s v="North"/>
    <x v="8"/>
    <x v="8"/>
  </r>
  <r>
    <s v="ORD1476"/>
    <d v="2024-12-24T00:00:00"/>
    <s v="C012"/>
    <s v="Network Setup &amp; Config"/>
    <s v="IT Support"/>
    <n v="1"/>
    <n v="49400"/>
    <n v="22000"/>
    <n v="27400"/>
    <n v="5"/>
    <s v="Cancelled"/>
    <s v="Sandeep Rao"/>
    <s v="Net Banking"/>
    <n v="3"/>
    <n v="55.47"/>
    <n v="49400"/>
    <s v="North"/>
    <x v="0"/>
    <x v="0"/>
  </r>
  <r>
    <s v="ORD1477"/>
    <d v="2024-05-24T00:00:00"/>
    <s v="C015"/>
    <s v="Chatbot Development"/>
    <s v="AI &amp; Automation"/>
    <n v="4"/>
    <n v="416000"/>
    <n v="220000"/>
    <n v="196000"/>
    <n v="20"/>
    <s v="Cancelled"/>
    <s v="Rohit Sharma"/>
    <s v="UPI"/>
    <n v="6"/>
    <n v="47.12"/>
    <n v="104000"/>
    <s v="West"/>
    <x v="3"/>
    <x v="3"/>
  </r>
  <r>
    <s v="ORD1478"/>
    <d v="2024-11-16T00:00:00"/>
    <s v="C026"/>
    <s v="Mobile App Development"/>
    <s v="Development"/>
    <n v="3"/>
    <n v="510000"/>
    <n v="255000"/>
    <n v="255000"/>
    <n v="15"/>
    <s v="Completed"/>
    <s v="Sandeep Rao"/>
    <s v="Cheque"/>
    <n v="3"/>
    <n v="50"/>
    <n v="170000"/>
    <s v="North"/>
    <x v="2"/>
    <x v="2"/>
  </r>
  <r>
    <s v="ORD1479"/>
    <d v="2024-10-10T00:00:00"/>
    <s v="C005"/>
    <s v="Enterprise CRM Software"/>
    <s v="Software License"/>
    <n v="1"/>
    <n v="95000"/>
    <n v="40000"/>
    <n v="55000"/>
    <n v="0"/>
    <s v="In Progress"/>
    <s v="Pooja Singh"/>
    <s v="UPI"/>
    <n v="3"/>
    <n v="57.89"/>
    <n v="95000"/>
    <s v="West"/>
    <x v="1"/>
    <x v="1"/>
  </r>
  <r>
    <s v="ORD1480"/>
    <d v="2024-12-30T00:00:00"/>
    <s v="C029"/>
    <s v="AI/ML Model Development"/>
    <s v="AI &amp; Automation"/>
    <n v="2"/>
    <n v="532000"/>
    <n v="240000"/>
    <n v="292000"/>
    <n v="5"/>
    <s v="Cancelled"/>
    <s v="Arjun Mehta"/>
    <s v="Credit Card"/>
    <n v="6"/>
    <n v="54.89"/>
    <n v="266000"/>
    <s v="South"/>
    <x v="0"/>
    <x v="0"/>
  </r>
  <r>
    <s v="ORD1481"/>
    <d v="2024-10-29T00:00:00"/>
    <s v="C007"/>
    <s v="Enterprise CRM Software"/>
    <s v="Software License"/>
    <n v="2"/>
    <n v="161500"/>
    <n v="80000"/>
    <n v="81500"/>
    <n v="15"/>
    <s v="In Progress"/>
    <s v="Rohit Sharma"/>
    <s v="Net Banking"/>
    <n v="24"/>
    <n v="50.46"/>
    <n v="80750"/>
    <s v="West"/>
    <x v="1"/>
    <x v="1"/>
  </r>
  <r>
    <s v="ORD1482"/>
    <d v="2024-11-26T00:00:00"/>
    <s v="C010"/>
    <s v="AWS Management Package"/>
    <s v="Cloud Services"/>
    <n v="3"/>
    <n v="360000"/>
    <n v="150000"/>
    <n v="210000"/>
    <n v="0"/>
    <s v="Completed"/>
    <s v="Pooja Singh"/>
    <s v="UPI"/>
    <n v="12"/>
    <n v="58.33"/>
    <n v="120000"/>
    <s v="South"/>
    <x v="2"/>
    <x v="2"/>
  </r>
  <r>
    <s v="ORD1483"/>
    <d v="2024-12-19T00:00:00"/>
    <s v="C008"/>
    <s v="Enterprise CRM Software"/>
    <s v="Software License"/>
    <n v="3"/>
    <n v="256500"/>
    <n v="120000"/>
    <n v="136500"/>
    <n v="10"/>
    <s v="Completed"/>
    <s v="Deepa Iyer"/>
    <s v="Cheque"/>
    <n v="24"/>
    <n v="53.22"/>
    <n v="85500"/>
    <s v="North"/>
    <x v="0"/>
    <x v="0"/>
  </r>
  <r>
    <s v="ORD1484"/>
    <d v="2024-08-18T00:00:00"/>
    <s v="C022"/>
    <s v="Data Analytics Dashboard"/>
    <s v="Analytics"/>
    <n v="5"/>
    <n v="500000"/>
    <n v="225000"/>
    <n v="275000"/>
    <n v="0"/>
    <s v="In Progress"/>
    <s v="Pooja Singh"/>
    <s v="Cheque"/>
    <n v="12"/>
    <n v="55"/>
    <n v="100000"/>
    <s v="South"/>
    <x v="9"/>
    <x v="9"/>
  </r>
  <r>
    <s v="ORD1485"/>
    <d v="2024-11-06T00:00:00"/>
    <s v="C008"/>
    <s v="Penetration Testing"/>
    <s v="Security Services"/>
    <n v="4"/>
    <n v="266000"/>
    <n v="120000"/>
    <n v="146000"/>
    <n v="5"/>
    <s v="Completed"/>
    <s v="Amit Verma"/>
    <s v="Cheque"/>
    <n v="24"/>
    <n v="54.89"/>
    <n v="66500"/>
    <s v="North"/>
    <x v="2"/>
    <x v="2"/>
  </r>
  <r>
    <s v="ORD1486"/>
    <d v="2024-08-24T00:00:00"/>
    <s v="C025"/>
    <s v="Data Analytics Dashboard"/>
    <s v="Analytics"/>
    <n v="4"/>
    <n v="360000"/>
    <n v="180000"/>
    <n v="180000"/>
    <n v="10"/>
    <s v="Completed"/>
    <s v="Amit Verma"/>
    <s v="Net Banking"/>
    <n v="3"/>
    <n v="50"/>
    <n v="90000"/>
    <s v="North"/>
    <x v="9"/>
    <x v="9"/>
  </r>
  <r>
    <s v="ORD1487"/>
    <d v="2024-05-23T00:00:00"/>
    <s v="C005"/>
    <s v="Mobile App Development"/>
    <s v="Development"/>
    <n v="2"/>
    <n v="380000"/>
    <n v="170000"/>
    <n v="210000"/>
    <n v="5"/>
    <s v="Cancelled"/>
    <s v="Priya Nair"/>
    <s v="Bank Transfer"/>
    <n v="3"/>
    <n v="55.26"/>
    <n v="190000"/>
    <s v="West"/>
    <x v="3"/>
    <x v="3"/>
  </r>
  <r>
    <s v="ORD1488"/>
    <d v="2024-09-16T00:00:00"/>
    <s v="C027"/>
    <s v="Web Portal Development"/>
    <s v="Development"/>
    <n v="5"/>
    <n v="688750"/>
    <n v="300000"/>
    <n v="388750"/>
    <n v="5"/>
    <s v="In Progress"/>
    <s v="Deepa Iyer"/>
    <s v="Bank Transfer"/>
    <n v="12"/>
    <n v="56.44"/>
    <n v="137750"/>
    <s v="North"/>
    <x v="7"/>
    <x v="7"/>
  </r>
  <r>
    <s v="ORD1489"/>
    <d v="2024-10-05T00:00:00"/>
    <s v="C018"/>
    <s v="Annual AMC Contract"/>
    <s v="IT Support"/>
    <n v="2"/>
    <n v="79800"/>
    <n v="36000"/>
    <n v="43800"/>
    <n v="5"/>
    <s v="Completed"/>
    <s v="Deepa Iyer"/>
    <s v="Net Banking"/>
    <n v="12"/>
    <n v="54.89"/>
    <n v="39900"/>
    <s v="South"/>
    <x v="1"/>
    <x v="1"/>
  </r>
  <r>
    <s v="ORD1490"/>
    <d v="2024-03-09T00:00:00"/>
    <s v="C017"/>
    <s v="AWS Management Package"/>
    <s v="Cloud Services"/>
    <n v="4"/>
    <n v="456000"/>
    <n v="200000"/>
    <n v="256000"/>
    <n v="5"/>
    <s v="In Progress"/>
    <s v="Rohit Sharma"/>
    <s v="Credit Card"/>
    <n v="6"/>
    <n v="56.14"/>
    <n v="114000"/>
    <s v="South"/>
    <x v="5"/>
    <x v="5"/>
  </r>
  <r>
    <s v="ORD1491"/>
    <d v="2024-10-17T00:00:00"/>
    <s v="C006"/>
    <s v="Web Portal Development"/>
    <s v="Development"/>
    <n v="5"/>
    <n v="616250"/>
    <n v="300000"/>
    <n v="316250"/>
    <n v="15"/>
    <s v="Completed"/>
    <s v="Sunita Pillai"/>
    <s v="Cheque"/>
    <n v="3"/>
    <n v="51.32"/>
    <n v="123250"/>
    <s v="West"/>
    <x v="1"/>
    <x v="1"/>
  </r>
  <r>
    <s v="ORD1492"/>
    <d v="2024-04-22T00:00:00"/>
    <s v="C008"/>
    <s v="AWS Management Package"/>
    <s v="Cloud Services"/>
    <n v="3"/>
    <n v="342000"/>
    <n v="150000"/>
    <n v="192000"/>
    <n v="5"/>
    <s v="Completed"/>
    <s v="Rohit Sharma"/>
    <s v="Credit Card"/>
    <n v="12"/>
    <n v="56.14"/>
    <n v="114000"/>
    <s v="North"/>
    <x v="10"/>
    <x v="10"/>
  </r>
  <r>
    <s v="ORD1493"/>
    <d v="2024-07-17T00:00:00"/>
    <s v="C015"/>
    <s v="Cloud Migration Service"/>
    <s v="Cloud Services"/>
    <n v="1"/>
    <n v="119000"/>
    <n v="60000"/>
    <n v="59000"/>
    <n v="15"/>
    <s v="Completed"/>
    <s v="Priya Nair"/>
    <s v="Net Banking"/>
    <n v="12"/>
    <n v="49.58"/>
    <n v="119000"/>
    <s v="West"/>
    <x v="4"/>
    <x v="4"/>
  </r>
  <r>
    <s v="ORD1494"/>
    <d v="2024-05-14T00:00:00"/>
    <s v="C019"/>
    <s v="HR Management System"/>
    <s v="Software License"/>
    <n v="4"/>
    <n v="272000"/>
    <n v="140000"/>
    <n v="132000"/>
    <n v="15"/>
    <s v="Completed"/>
    <s v="Kavita Joshi"/>
    <s v="Net Banking"/>
    <n v="3"/>
    <n v="48.53"/>
    <n v="68000"/>
    <s v="North"/>
    <x v="3"/>
    <x v="3"/>
  </r>
  <r>
    <s v="ORD1495"/>
    <d v="2024-10-25T00:00:00"/>
    <s v="C017"/>
    <s v="Chatbot Development"/>
    <s v="AI &amp; Automation"/>
    <n v="3"/>
    <n v="312000"/>
    <n v="165000"/>
    <n v="147000"/>
    <n v="20"/>
    <s v="Completed"/>
    <s v="Sunita Pillai"/>
    <s v="UPI"/>
    <n v="3"/>
    <n v="47.12"/>
    <n v="104000"/>
    <s v="South"/>
    <x v="1"/>
    <x v="1"/>
  </r>
  <r>
    <s v="ORD1496"/>
    <d v="2024-09-13T00:00:00"/>
    <s v="C015"/>
    <s v="HR Management System"/>
    <s v="Software License"/>
    <n v="2"/>
    <n v="160000"/>
    <n v="70000"/>
    <n v="90000"/>
    <n v="0"/>
    <s v="In Progress"/>
    <s v="Sandeep Rao"/>
    <s v="Credit Card"/>
    <n v="6"/>
    <n v="56.25"/>
    <n v="80000"/>
    <s v="West"/>
    <x v="7"/>
    <x v="7"/>
  </r>
  <r>
    <s v="ORD1497"/>
    <d v="2024-12-13T00:00:00"/>
    <s v="C023"/>
    <s v="Enterprise CRM Software"/>
    <s v="Software License"/>
    <n v="2"/>
    <n v="180500"/>
    <n v="80000"/>
    <n v="100500"/>
    <n v="5"/>
    <s v="Completed"/>
    <s v="Priya Nair"/>
    <s v="UPI"/>
    <n v="24"/>
    <n v="55.68"/>
    <n v="90250"/>
    <s v="South"/>
    <x v="0"/>
    <x v="0"/>
  </r>
  <r>
    <s v="ORD1498"/>
    <d v="2024-10-17T00:00:00"/>
    <s v="C021"/>
    <s v="RPA Implementation"/>
    <s v="AI &amp; Automation"/>
    <n v="1"/>
    <n v="160000"/>
    <n v="70000"/>
    <n v="90000"/>
    <n v="0"/>
    <s v="Completed"/>
    <s v="Amit Verma"/>
    <s v="Net Banking"/>
    <n v="6"/>
    <n v="56.25"/>
    <n v="160000"/>
    <s v="West"/>
    <x v="1"/>
    <x v="1"/>
  </r>
  <r>
    <s v="ORD1499"/>
    <d v="2024-03-09T00:00:00"/>
    <s v="C002"/>
    <s v="Web Portal Development"/>
    <s v="Development"/>
    <n v="2"/>
    <n v="290000"/>
    <n v="120000"/>
    <n v="170000"/>
    <n v="0"/>
    <s v="Completed"/>
    <s v="Sandeep Rao"/>
    <s v="Credit Card"/>
    <n v="24"/>
    <n v="58.62"/>
    <n v="145000"/>
    <s v="West"/>
    <x v="5"/>
    <x v="5"/>
  </r>
  <r>
    <s v="ORD1500"/>
    <d v="2024-11-02T00:00:00"/>
    <s v="C021"/>
    <s v="Cloud Infrastructure Setup"/>
    <s v="Cloud Services"/>
    <n v="3"/>
    <n v="540000"/>
    <n v="240000"/>
    <n v="300000"/>
    <n v="0"/>
    <s v="Completed"/>
    <s v="Sunita Pillai"/>
    <s v="Net Banking"/>
    <n v="24"/>
    <n v="55.56"/>
    <n v="180000"/>
    <s v="West"/>
    <x v="2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0">
  <r>
    <s v="ORD1001"/>
    <d v="2024-12-30T00:00:00"/>
    <s v="C009"/>
    <s v="Penetration Testing"/>
    <s v="Security Services"/>
    <n v="2"/>
    <n v="140000"/>
    <n v="60000"/>
    <n v="80000"/>
    <n v="0"/>
    <s v="Cancelled"/>
    <s v="Priya Nair"/>
    <s v="Net Banking"/>
    <n v="3"/>
    <n v="57.14"/>
    <n v="70000"/>
    <s v="South"/>
    <s v="December"/>
    <n v="12"/>
    <x v="0"/>
  </r>
  <r>
    <s v="ORD1002"/>
    <d v="2024-10-29T00:00:00"/>
    <s v="C001"/>
    <s v="AWS Management Package"/>
    <s v="Cloud Services"/>
    <n v="2"/>
    <n v="240000"/>
    <n v="100000"/>
    <n v="140000"/>
    <n v="0"/>
    <s v="In Progress"/>
    <s v="Pooja Singh"/>
    <s v="Bank Transfer"/>
    <n v="6"/>
    <n v="58.33"/>
    <n v="120000"/>
    <s v="South"/>
    <s v="October"/>
    <n v="10"/>
    <x v="1"/>
  </r>
  <r>
    <s v="ORD1003"/>
    <d v="2024-11-28T00:00:00"/>
    <s v="C014"/>
    <s v="Penetration Testing"/>
    <s v="Security Services"/>
    <n v="4"/>
    <n v="252000"/>
    <n v="120000"/>
    <n v="132000"/>
    <n v="10"/>
    <s v="Completed"/>
    <s v="Rohit Sharma"/>
    <s v="Credit Card"/>
    <n v="24"/>
    <n v="52.38"/>
    <n v="63000"/>
    <s v="South"/>
    <s v="November"/>
    <n v="11"/>
    <x v="2"/>
  </r>
  <r>
    <s v="ORD1004"/>
    <d v="2024-10-24T00:00:00"/>
    <s v="C025"/>
    <s v="Business Intelligence Report"/>
    <s v="Analytics"/>
    <n v="1"/>
    <n v="65000"/>
    <n v="28000"/>
    <n v="37000"/>
    <n v="0"/>
    <s v="Completed"/>
    <s v="Priya Nair"/>
    <s v="Cheque"/>
    <n v="12"/>
    <n v="56.92"/>
    <n v="65000"/>
    <s v="North"/>
    <s v="October"/>
    <n v="10"/>
    <x v="3"/>
  </r>
  <r>
    <s v="ORD1005"/>
    <d v="2024-10-02T00:00:00"/>
    <s v="C024"/>
    <s v="IT Support &amp; Maintenance"/>
    <s v="IT Support"/>
    <n v="5"/>
    <n v="175000"/>
    <n v="75000"/>
    <n v="100000"/>
    <n v="0"/>
    <s v="Completed"/>
    <s v="Priya Nair"/>
    <s v="Net Banking"/>
    <n v="12"/>
    <n v="57.14"/>
    <n v="35000"/>
    <s v="North"/>
    <s v="October"/>
    <n v="10"/>
    <x v="4"/>
  </r>
  <r>
    <s v="ORD1006"/>
    <d v="2024-11-17T00:00:00"/>
    <s v="C028"/>
    <s v="AI/ML Model Development"/>
    <s v="AI &amp; Automation"/>
    <n v="5"/>
    <n v="1400000"/>
    <n v="600000"/>
    <n v="800000"/>
    <n v="0"/>
    <s v="Cancelled"/>
    <s v="Priya Nair"/>
    <s v="Bank Transfer"/>
    <n v="6"/>
    <n v="57.14"/>
    <n v="280000"/>
    <s v="South"/>
    <s v="November"/>
    <n v="11"/>
    <x v="5"/>
  </r>
  <r>
    <s v="ORD1007"/>
    <d v="2024-05-28T00:00:00"/>
    <s v="C028"/>
    <s v="Penetration Testing"/>
    <s v="Security Services"/>
    <n v="1"/>
    <n v="66500"/>
    <n v="30000"/>
    <n v="36500"/>
    <n v="5"/>
    <s v="Completed"/>
    <s v="Sunita Pillai"/>
    <s v="Cheque"/>
    <n v="6"/>
    <n v="54.89"/>
    <n v="66500"/>
    <s v="South"/>
    <s v="May"/>
    <n v="5"/>
    <x v="5"/>
  </r>
  <r>
    <s v="ORD1008"/>
    <d v="2024-07-08T00:00:00"/>
    <s v="C022"/>
    <s v="Firewall &amp; Network Security"/>
    <s v="Security Services"/>
    <n v="1"/>
    <n v="45000"/>
    <n v="20000"/>
    <n v="25000"/>
    <n v="10"/>
    <s v="Cancelled"/>
    <s v="Amit Verma"/>
    <s v="Net Banking"/>
    <n v="6"/>
    <n v="55.56"/>
    <n v="45000"/>
    <s v="South"/>
    <s v="July"/>
    <n v="7"/>
    <x v="6"/>
  </r>
  <r>
    <s v="ORD1009"/>
    <d v="2024-03-24T00:00:00"/>
    <s v="C009"/>
    <s v="Mobile App Development"/>
    <s v="Development"/>
    <n v="2"/>
    <n v="340000"/>
    <n v="170000"/>
    <n v="170000"/>
    <n v="15"/>
    <s v="Completed"/>
    <s v="Rohit Sharma"/>
    <s v="Credit Card"/>
    <n v="3"/>
    <n v="50"/>
    <n v="170000"/>
    <s v="South"/>
    <s v="March"/>
    <n v="3"/>
    <x v="0"/>
  </r>
  <r>
    <s v="ORD1010"/>
    <d v="2024-06-10T00:00:00"/>
    <s v="C003"/>
    <s v="Cybersecurity Audit"/>
    <s v="Security Services"/>
    <n v="5"/>
    <n v="255000"/>
    <n v="125000"/>
    <n v="130000"/>
    <n v="15"/>
    <s v="Completed"/>
    <s v="Deepa Iyer"/>
    <s v="UPI"/>
    <n v="24"/>
    <n v="50.98"/>
    <n v="51000"/>
    <s v="South"/>
    <s v="June"/>
    <n v="6"/>
    <x v="7"/>
  </r>
  <r>
    <s v="ORD1011"/>
    <d v="2024-11-25T00:00:00"/>
    <s v="C009"/>
    <s v="ERP Implementation"/>
    <s v="Software License"/>
    <n v="2"/>
    <n v="374000"/>
    <n v="180000"/>
    <n v="194000"/>
    <n v="15"/>
    <s v="In Progress"/>
    <s v="Arjun Mehta"/>
    <s v="Cheque"/>
    <n v="24"/>
    <n v="51.87"/>
    <n v="187000"/>
    <s v="South"/>
    <s v="November"/>
    <n v="11"/>
    <x v="0"/>
  </r>
  <r>
    <s v="ORD1012"/>
    <d v="2024-10-25T00:00:00"/>
    <s v="C008"/>
    <s v="ERP Implementation"/>
    <s v="Software License"/>
    <n v="5"/>
    <n v="1045000"/>
    <n v="450000"/>
    <n v="595000"/>
    <n v="5"/>
    <s v="Completed"/>
    <s v="Rohit Sharma"/>
    <s v="Bank Transfer"/>
    <n v="6"/>
    <n v="56.94"/>
    <n v="209000"/>
    <s v="North"/>
    <s v="October"/>
    <n v="10"/>
    <x v="8"/>
  </r>
  <r>
    <s v="ORD1013"/>
    <d v="2024-12-23T00:00:00"/>
    <s v="C014"/>
    <s v="API Integration Service"/>
    <s v="Development"/>
    <n v="1"/>
    <n v="83600"/>
    <n v="38000"/>
    <n v="45600"/>
    <n v="5"/>
    <s v="Completed"/>
    <s v="Pooja Singh"/>
    <s v="UPI"/>
    <n v="12"/>
    <n v="54.55"/>
    <n v="83600"/>
    <s v="South"/>
    <s v="December"/>
    <n v="12"/>
    <x v="2"/>
  </r>
  <r>
    <s v="ORD1014"/>
    <d v="2024-10-10T00:00:00"/>
    <s v="C001"/>
    <s v="Enterprise CRM Software"/>
    <s v="Software License"/>
    <n v="5"/>
    <n v="380000"/>
    <n v="200000"/>
    <n v="180000"/>
    <n v="20"/>
    <s v="Completed"/>
    <s v="Kavita Joshi"/>
    <s v="Bank Transfer"/>
    <n v="12"/>
    <n v="47.37"/>
    <n v="76000"/>
    <s v="South"/>
    <s v="October"/>
    <n v="10"/>
    <x v="1"/>
  </r>
  <r>
    <s v="ORD1015"/>
    <d v="2024-09-27T00:00:00"/>
    <s v="C024"/>
    <s v="Firewall &amp; Network Security"/>
    <s v="Security Services"/>
    <n v="5"/>
    <n v="200000"/>
    <n v="100000"/>
    <n v="100000"/>
    <n v="20"/>
    <s v="Completed"/>
    <s v="Arjun Mehta"/>
    <s v="Bank Transfer"/>
    <n v="12"/>
    <n v="50"/>
    <n v="40000"/>
    <s v="North"/>
    <s v="September"/>
    <n v="9"/>
    <x v="4"/>
  </r>
  <r>
    <s v="ORD1016"/>
    <d v="2024-11-23T00:00:00"/>
    <s v="C007"/>
    <s v="ERP Implementation"/>
    <s v="Software License"/>
    <n v="3"/>
    <n v="528000"/>
    <n v="270000"/>
    <n v="258000"/>
    <n v="20"/>
    <s v="Completed"/>
    <s v="Arjun Mehta"/>
    <s v="Net Banking"/>
    <n v="3"/>
    <n v="48.86"/>
    <n v="176000"/>
    <s v="West"/>
    <s v="November"/>
    <n v="11"/>
    <x v="9"/>
  </r>
  <r>
    <s v="ORD1017"/>
    <d v="2024-11-02T00:00:00"/>
    <s v="C001"/>
    <s v="Enterprise CRM Software"/>
    <s v="Software License"/>
    <n v="3"/>
    <n v="228000"/>
    <n v="120000"/>
    <n v="108000"/>
    <n v="20"/>
    <s v="Completed"/>
    <s v="Deepa Iyer"/>
    <s v="Bank Transfer"/>
    <n v="6"/>
    <n v="47.37"/>
    <n v="76000"/>
    <s v="South"/>
    <s v="November"/>
    <n v="11"/>
    <x v="1"/>
  </r>
  <r>
    <s v="ORD1018"/>
    <d v="2024-10-17T00:00:00"/>
    <s v="C003"/>
    <s v="Annual AMC Contract"/>
    <s v="IT Support"/>
    <n v="1"/>
    <n v="33600"/>
    <n v="18000"/>
    <n v="15600"/>
    <n v="20"/>
    <s v="In Progress"/>
    <s v="Amit Verma"/>
    <s v="Credit Card"/>
    <n v="24"/>
    <n v="46.43"/>
    <n v="33600"/>
    <s v="South"/>
    <s v="October"/>
    <n v="10"/>
    <x v="7"/>
  </r>
  <r>
    <s v="ORD1019"/>
    <d v="2024-12-03T00:00:00"/>
    <s v="C028"/>
    <s v="API Integration Service"/>
    <s v="Development"/>
    <n v="4"/>
    <n v="352000"/>
    <n v="152000"/>
    <n v="200000"/>
    <n v="0"/>
    <s v="In Progress"/>
    <s v="Deepa Iyer"/>
    <s v="Cheque"/>
    <n v="24"/>
    <n v="56.82"/>
    <n v="88000"/>
    <s v="South"/>
    <s v="December"/>
    <n v="12"/>
    <x v="5"/>
  </r>
  <r>
    <s v="ORD1020"/>
    <d v="2024-12-09T00:00:00"/>
    <s v="C015"/>
    <s v="Network Setup &amp; Config"/>
    <s v="IT Support"/>
    <n v="4"/>
    <n v="208000"/>
    <n v="88000"/>
    <n v="120000"/>
    <n v="0"/>
    <s v="Completed"/>
    <s v="Deepa Iyer"/>
    <s v="Bank Transfer"/>
    <n v="12"/>
    <n v="57.69"/>
    <n v="52000"/>
    <s v="West"/>
    <s v="December"/>
    <n v="12"/>
    <x v="10"/>
  </r>
  <r>
    <s v="ORD1021"/>
    <d v="2024-01-11T00:00:00"/>
    <s v="C008"/>
    <s v="Web Portal Development"/>
    <s v="Development"/>
    <n v="2"/>
    <n v="290000"/>
    <n v="120000"/>
    <n v="170000"/>
    <n v="0"/>
    <s v="Completed"/>
    <s v="Rohit Sharma"/>
    <s v="Credit Card"/>
    <n v="3"/>
    <n v="58.62"/>
    <n v="145000"/>
    <s v="North"/>
    <s v="January"/>
    <n v="1"/>
    <x v="8"/>
  </r>
  <r>
    <s v="ORD1022"/>
    <d v="2024-01-17T00:00:00"/>
    <s v="C003"/>
    <s v="Network Setup &amp; Config"/>
    <s v="IT Support"/>
    <n v="2"/>
    <n v="98800"/>
    <n v="44000"/>
    <n v="54800"/>
    <n v="5"/>
    <s v="Cancelled"/>
    <s v="Sunita Pillai"/>
    <s v="Credit Card"/>
    <n v="6"/>
    <n v="55.47"/>
    <n v="49400"/>
    <s v="South"/>
    <s v="January"/>
    <n v="1"/>
    <x v="7"/>
  </r>
  <r>
    <s v="ORD1023"/>
    <d v="2024-10-19T00:00:00"/>
    <s v="C008"/>
    <s v="Annual AMC Contract"/>
    <s v="IT Support"/>
    <n v="4"/>
    <n v="168000"/>
    <n v="72000"/>
    <n v="96000"/>
    <n v="0"/>
    <s v="Completed"/>
    <s v="Priya Nair"/>
    <s v="UPI"/>
    <n v="12"/>
    <n v="57.14"/>
    <n v="42000"/>
    <s v="North"/>
    <s v="October"/>
    <n v="10"/>
    <x v="8"/>
  </r>
  <r>
    <s v="ORD1024"/>
    <d v="2024-08-04T00:00:00"/>
    <s v="C028"/>
    <s v="Cloud Migration Service"/>
    <s v="Cloud Services"/>
    <n v="1"/>
    <n v="140000"/>
    <n v="60000"/>
    <n v="80000"/>
    <n v="0"/>
    <s v="Completed"/>
    <s v="Kavita Joshi"/>
    <s v="Bank Transfer"/>
    <n v="6"/>
    <n v="57.14"/>
    <n v="140000"/>
    <s v="South"/>
    <s v="August"/>
    <n v="8"/>
    <x v="5"/>
  </r>
  <r>
    <s v="ORD1025"/>
    <d v="2024-11-23T00:00:00"/>
    <s v="C005"/>
    <s v="RPA Implementation"/>
    <s v="AI &amp; Automation"/>
    <n v="2"/>
    <n v="304000"/>
    <n v="140000"/>
    <n v="164000"/>
    <n v="5"/>
    <s v="Completed"/>
    <s v="Deepa Iyer"/>
    <s v="Bank Transfer"/>
    <n v="24"/>
    <n v="53.95"/>
    <n v="152000"/>
    <s v="West"/>
    <s v="November"/>
    <n v="11"/>
    <x v="11"/>
  </r>
  <r>
    <s v="ORD1026"/>
    <d v="2024-12-19T00:00:00"/>
    <s v="C018"/>
    <s v="Cloud Infrastructure Setup"/>
    <s v="Cloud Services"/>
    <n v="1"/>
    <n v="144000"/>
    <n v="80000"/>
    <n v="64000"/>
    <n v="20"/>
    <s v="Completed"/>
    <s v="Amit Verma"/>
    <s v="UPI"/>
    <n v="24"/>
    <n v="44.44"/>
    <n v="144000"/>
    <s v="South"/>
    <s v="December"/>
    <n v="12"/>
    <x v="12"/>
  </r>
  <r>
    <s v="ORD1027"/>
    <d v="2024-11-17T00:00:00"/>
    <s v="C029"/>
    <s v="Cloud Migration Service"/>
    <s v="Cloud Services"/>
    <n v="2"/>
    <n v="266000"/>
    <n v="120000"/>
    <n v="146000"/>
    <n v="5"/>
    <s v="Completed"/>
    <s v="Nikhil Gupta"/>
    <s v="Cheque"/>
    <n v="24"/>
    <n v="54.89"/>
    <n v="133000"/>
    <s v="South"/>
    <s v="November"/>
    <n v="11"/>
    <x v="13"/>
  </r>
  <r>
    <s v="ORD1028"/>
    <d v="2024-05-26T00:00:00"/>
    <s v="C024"/>
    <s v="Mobile App Development"/>
    <s v="Development"/>
    <n v="4"/>
    <n v="800000"/>
    <n v="340000"/>
    <n v="460000"/>
    <n v="0"/>
    <s v="Completed"/>
    <s v="Sandeep Rao"/>
    <s v="Credit Card"/>
    <n v="3"/>
    <n v="57.5"/>
    <n v="200000"/>
    <s v="North"/>
    <s v="May"/>
    <n v="5"/>
    <x v="4"/>
  </r>
  <r>
    <s v="ORD1029"/>
    <d v="2024-10-23T00:00:00"/>
    <s v="C002"/>
    <s v="Business Intelligence Report"/>
    <s v="Analytics"/>
    <n v="1"/>
    <n v="65000"/>
    <n v="28000"/>
    <n v="37000"/>
    <n v="0"/>
    <s v="In Progress"/>
    <s v="Sunita Pillai"/>
    <s v="Net Banking"/>
    <n v="6"/>
    <n v="56.92"/>
    <n v="65000"/>
    <s v="West"/>
    <s v="October"/>
    <n v="10"/>
    <x v="14"/>
  </r>
  <r>
    <s v="ORD1030"/>
    <d v="2024-01-30T00:00:00"/>
    <s v="C003"/>
    <s v="HR Management System"/>
    <s v="Software License"/>
    <n v="1"/>
    <n v="72000"/>
    <n v="35000"/>
    <n v="37000"/>
    <n v="10"/>
    <s v="Completed"/>
    <s v="Deepa Iyer"/>
    <s v="UPI"/>
    <n v="3"/>
    <n v="51.39"/>
    <n v="72000"/>
    <s v="South"/>
    <s v="January"/>
    <n v="1"/>
    <x v="7"/>
  </r>
  <r>
    <s v="ORD1031"/>
    <d v="2024-12-12T00:00:00"/>
    <s v="C002"/>
    <s v="API Integration Service"/>
    <s v="Development"/>
    <n v="1"/>
    <n v="83600"/>
    <n v="38000"/>
    <n v="45600"/>
    <n v="5"/>
    <s v="Cancelled"/>
    <s v="Pooja Singh"/>
    <s v="Net Banking"/>
    <n v="12"/>
    <n v="54.55"/>
    <n v="83600"/>
    <s v="West"/>
    <s v="December"/>
    <n v="12"/>
    <x v="14"/>
  </r>
  <r>
    <s v="ORD1032"/>
    <d v="2024-12-27T00:00:00"/>
    <s v="C011"/>
    <s v="Penetration Testing"/>
    <s v="Security Services"/>
    <n v="3"/>
    <n v="199500"/>
    <n v="90000"/>
    <n v="109500"/>
    <n v="5"/>
    <s v="Completed"/>
    <s v="Sandeep Rao"/>
    <s v="UPI"/>
    <n v="12"/>
    <n v="54.89"/>
    <n v="66500"/>
    <s v="South"/>
    <s v="December"/>
    <n v="12"/>
    <x v="15"/>
  </r>
  <r>
    <s v="ORD1033"/>
    <d v="2024-12-15T00:00:00"/>
    <s v="C019"/>
    <s v="Enterprise CRM Software"/>
    <s v="Software License"/>
    <n v="1"/>
    <n v="85500"/>
    <n v="40000"/>
    <n v="45500"/>
    <n v="10"/>
    <s v="Completed"/>
    <s v="Arjun Mehta"/>
    <s v="Cheque"/>
    <n v="6"/>
    <n v="53.22"/>
    <n v="85500"/>
    <s v="North"/>
    <s v="December"/>
    <n v="12"/>
    <x v="16"/>
  </r>
  <r>
    <s v="ORD1034"/>
    <d v="2024-06-27T00:00:00"/>
    <s v="C029"/>
    <s v="Penetration Testing"/>
    <s v="Security Services"/>
    <n v="3"/>
    <n v="199500"/>
    <n v="90000"/>
    <n v="109500"/>
    <n v="5"/>
    <s v="Completed"/>
    <s v="Sunita Pillai"/>
    <s v="Net Banking"/>
    <n v="12"/>
    <n v="54.89"/>
    <n v="66500"/>
    <s v="South"/>
    <s v="June"/>
    <n v="6"/>
    <x v="13"/>
  </r>
  <r>
    <s v="ORD1035"/>
    <d v="2024-11-09T00:00:00"/>
    <s v="C026"/>
    <s v="Network Setup &amp; Config"/>
    <s v="IT Support"/>
    <n v="1"/>
    <n v="44200"/>
    <n v="22000"/>
    <n v="22200"/>
    <n v="15"/>
    <s v="In Progress"/>
    <s v="Sandeep Rao"/>
    <s v="Bank Transfer"/>
    <n v="6"/>
    <n v="50.23"/>
    <n v="44200"/>
    <s v="North"/>
    <s v="November"/>
    <n v="11"/>
    <x v="17"/>
  </r>
  <r>
    <s v="ORD1036"/>
    <d v="2024-10-10T00:00:00"/>
    <s v="C024"/>
    <s v="Mobile App Development"/>
    <s v="Development"/>
    <n v="2"/>
    <n v="380000"/>
    <n v="170000"/>
    <n v="210000"/>
    <n v="5"/>
    <s v="Completed"/>
    <s v="Pooja Singh"/>
    <s v="Credit Card"/>
    <n v="12"/>
    <n v="55.26"/>
    <n v="190000"/>
    <s v="North"/>
    <s v="October"/>
    <n v="10"/>
    <x v="4"/>
  </r>
  <r>
    <s v="ORD1037"/>
    <d v="2024-04-14T00:00:00"/>
    <s v="C028"/>
    <s v="Firewall &amp; Network Security"/>
    <s v="Security Services"/>
    <n v="5"/>
    <n v="237500"/>
    <n v="100000"/>
    <n v="137500"/>
    <n v="5"/>
    <s v="Completed"/>
    <s v="Rohit Sharma"/>
    <s v="Bank Transfer"/>
    <n v="24"/>
    <n v="57.89"/>
    <n v="47500"/>
    <s v="South"/>
    <s v="April"/>
    <n v="4"/>
    <x v="5"/>
  </r>
  <r>
    <s v="ORD1038"/>
    <d v="2024-11-08T00:00:00"/>
    <s v="C025"/>
    <s v="ERP Implementation"/>
    <s v="Software License"/>
    <n v="3"/>
    <n v="660000"/>
    <n v="270000"/>
    <n v="390000"/>
    <n v="0"/>
    <s v="Cancelled"/>
    <s v="Sunita Pillai"/>
    <s v="Net Banking"/>
    <n v="24"/>
    <n v="59.09"/>
    <n v="220000"/>
    <s v="North"/>
    <s v="November"/>
    <n v="11"/>
    <x v="3"/>
  </r>
  <r>
    <s v="ORD1039"/>
    <d v="2024-10-06T00:00:00"/>
    <s v="C029"/>
    <s v="ERP Implementation"/>
    <s v="Software License"/>
    <n v="5"/>
    <n v="1100000"/>
    <n v="450000"/>
    <n v="650000"/>
    <n v="0"/>
    <s v="Completed"/>
    <s v="Pooja Singh"/>
    <s v="Net Banking"/>
    <n v="6"/>
    <n v="59.09"/>
    <n v="220000"/>
    <s v="South"/>
    <s v="October"/>
    <n v="10"/>
    <x v="13"/>
  </r>
  <r>
    <s v="ORD1040"/>
    <d v="2024-11-05T00:00:00"/>
    <s v="C012"/>
    <s v="Cloud Migration Service"/>
    <s v="Cloud Services"/>
    <n v="3"/>
    <n v="420000"/>
    <n v="180000"/>
    <n v="240000"/>
    <n v="0"/>
    <s v="Cancelled"/>
    <s v="Deepa Iyer"/>
    <s v="Bank Transfer"/>
    <n v="12"/>
    <n v="57.14"/>
    <n v="140000"/>
    <s v="North"/>
    <s v="November"/>
    <n v="11"/>
    <x v="18"/>
  </r>
  <r>
    <s v="ORD1041"/>
    <d v="2024-10-13T00:00:00"/>
    <s v="C014"/>
    <s v="API Integration Service"/>
    <s v="Development"/>
    <n v="2"/>
    <n v="176000"/>
    <n v="76000"/>
    <n v="100000"/>
    <n v="0"/>
    <s v="Completed"/>
    <s v="Amit Verma"/>
    <s v="UPI"/>
    <n v="3"/>
    <n v="56.82"/>
    <n v="88000"/>
    <s v="South"/>
    <s v="October"/>
    <n v="10"/>
    <x v="2"/>
  </r>
  <r>
    <s v="ORD1042"/>
    <d v="2024-04-01T00:00:00"/>
    <s v="C011"/>
    <s v="RPA Implementation"/>
    <s v="AI &amp; Automation"/>
    <n v="2"/>
    <n v="304000"/>
    <n v="140000"/>
    <n v="164000"/>
    <n v="5"/>
    <s v="Completed"/>
    <s v="Priya Nair"/>
    <s v="UPI"/>
    <n v="3"/>
    <n v="53.95"/>
    <n v="152000"/>
    <s v="South"/>
    <s v="April"/>
    <n v="4"/>
    <x v="15"/>
  </r>
  <r>
    <s v="ORD1043"/>
    <d v="2024-11-24T00:00:00"/>
    <s v="C012"/>
    <s v="Data Analytics Dashboard"/>
    <s v="Analytics"/>
    <n v="2"/>
    <n v="200000"/>
    <n v="90000"/>
    <n v="110000"/>
    <n v="0"/>
    <s v="Completed"/>
    <s v="Deepa Iyer"/>
    <s v="UPI"/>
    <n v="12"/>
    <n v="55"/>
    <n v="100000"/>
    <s v="North"/>
    <s v="November"/>
    <n v="11"/>
    <x v="18"/>
  </r>
  <r>
    <s v="ORD1044"/>
    <d v="2024-05-22T00:00:00"/>
    <s v="C025"/>
    <s v="Firewall &amp; Network Security"/>
    <s v="Security Services"/>
    <n v="3"/>
    <n v="127500"/>
    <n v="60000"/>
    <n v="67500"/>
    <n v="15"/>
    <s v="In Progress"/>
    <s v="Nikhil Gupta"/>
    <s v="Net Banking"/>
    <n v="12"/>
    <n v="52.94"/>
    <n v="42500"/>
    <s v="North"/>
    <s v="May"/>
    <n v="5"/>
    <x v="3"/>
  </r>
  <r>
    <s v="ORD1045"/>
    <d v="2024-10-30T00:00:00"/>
    <s v="C006"/>
    <s v="Web Portal Development"/>
    <s v="Development"/>
    <n v="3"/>
    <n v="435000"/>
    <n v="180000"/>
    <n v="255000"/>
    <n v="0"/>
    <s v="Completed"/>
    <s v="Pooja Singh"/>
    <s v="UPI"/>
    <n v="12"/>
    <n v="58.62"/>
    <n v="145000"/>
    <s v="West"/>
    <s v="October"/>
    <n v="10"/>
    <x v="19"/>
  </r>
  <r>
    <s v="ORD1046"/>
    <d v="2024-06-09T00:00:00"/>
    <s v="C017"/>
    <s v="Enterprise CRM Software"/>
    <s v="Software License"/>
    <n v="4"/>
    <n v="342000"/>
    <n v="160000"/>
    <n v="182000"/>
    <n v="10"/>
    <s v="Completed"/>
    <s v="Sandeep Rao"/>
    <s v="Bank Transfer"/>
    <n v="24"/>
    <n v="53.22"/>
    <n v="85500"/>
    <s v="South"/>
    <s v="June"/>
    <n v="6"/>
    <x v="20"/>
  </r>
  <r>
    <s v="ORD1047"/>
    <d v="2024-01-01T00:00:00"/>
    <s v="C026"/>
    <s v="Mobile App Development"/>
    <s v="Development"/>
    <n v="2"/>
    <n v="380000"/>
    <n v="170000"/>
    <n v="210000"/>
    <n v="5"/>
    <s v="Completed"/>
    <s v="Priya Nair"/>
    <s v="Cheque"/>
    <n v="12"/>
    <n v="55.26"/>
    <n v="190000"/>
    <s v="North"/>
    <s v="January"/>
    <n v="1"/>
    <x v="17"/>
  </r>
  <r>
    <s v="ORD1048"/>
    <d v="2024-12-05T00:00:00"/>
    <s v="C024"/>
    <s v="Data Analytics Dashboard"/>
    <s v="Analytics"/>
    <n v="5"/>
    <n v="475000"/>
    <n v="225000"/>
    <n v="250000"/>
    <n v="5"/>
    <s v="Cancelled"/>
    <s v="Nikhil Gupta"/>
    <s v="Cheque"/>
    <n v="24"/>
    <n v="52.63"/>
    <n v="95000"/>
    <s v="North"/>
    <s v="December"/>
    <n v="12"/>
    <x v="4"/>
  </r>
  <r>
    <s v="ORD1049"/>
    <d v="2024-10-13T00:00:00"/>
    <s v="C007"/>
    <s v="RPA Implementation"/>
    <s v="AI &amp; Automation"/>
    <n v="4"/>
    <n v="544000"/>
    <n v="280000"/>
    <n v="264000"/>
    <n v="15"/>
    <s v="Cancelled"/>
    <s v="Amit Verma"/>
    <s v="Net Banking"/>
    <n v="12"/>
    <n v="48.53"/>
    <n v="136000"/>
    <s v="West"/>
    <s v="October"/>
    <n v="10"/>
    <x v="9"/>
  </r>
  <r>
    <s v="ORD1050"/>
    <d v="2024-07-26T00:00:00"/>
    <s v="C001"/>
    <s v="Data Analytics Dashboard"/>
    <s v="Analytics"/>
    <n v="3"/>
    <n v="300000"/>
    <n v="135000"/>
    <n v="165000"/>
    <n v="0"/>
    <s v="Completed"/>
    <s v="Pooja Singh"/>
    <s v="Net Banking"/>
    <n v="12"/>
    <n v="55"/>
    <n v="100000"/>
    <s v="South"/>
    <s v="July"/>
    <n v="7"/>
    <x v="1"/>
  </r>
  <r>
    <s v="ORD1051"/>
    <d v="2024-08-26T00:00:00"/>
    <s v="C022"/>
    <s v="Cybersecurity Audit"/>
    <s v="Security Services"/>
    <n v="5"/>
    <n v="285000"/>
    <n v="125000"/>
    <n v="160000"/>
    <n v="5"/>
    <s v="Cancelled"/>
    <s v="Amit Verma"/>
    <s v="Bank Transfer"/>
    <n v="12"/>
    <n v="56.14"/>
    <n v="57000"/>
    <s v="South"/>
    <s v="August"/>
    <n v="8"/>
    <x v="6"/>
  </r>
  <r>
    <s v="ORD1052"/>
    <d v="2024-09-20T00:00:00"/>
    <s v="C020"/>
    <s v="Business Intelligence Report"/>
    <s v="Analytics"/>
    <n v="1"/>
    <n v="52000"/>
    <n v="28000"/>
    <n v="24000"/>
    <n v="20"/>
    <s v="Completed"/>
    <s v="Sandeep Rao"/>
    <s v="Credit Card"/>
    <n v="6"/>
    <n v="46.15"/>
    <n v="52000"/>
    <s v="North"/>
    <s v="September"/>
    <n v="9"/>
    <x v="21"/>
  </r>
  <r>
    <s v="ORD1053"/>
    <d v="2024-10-28T00:00:00"/>
    <s v="C016"/>
    <s v="API Integration Service"/>
    <s v="Development"/>
    <n v="1"/>
    <n v="83600"/>
    <n v="38000"/>
    <n v="45600"/>
    <n v="5"/>
    <s v="Completed"/>
    <s v="Pooja Singh"/>
    <s v="Credit Card"/>
    <n v="24"/>
    <n v="54.55"/>
    <n v="83600"/>
    <s v="South"/>
    <s v="October"/>
    <n v="10"/>
    <x v="22"/>
  </r>
  <r>
    <s v="ORD1054"/>
    <d v="2024-09-10T00:00:00"/>
    <s v="C005"/>
    <s v="Cloud Infrastructure Setup"/>
    <s v="Cloud Services"/>
    <n v="1"/>
    <n v="144000"/>
    <n v="80000"/>
    <n v="64000"/>
    <n v="20"/>
    <s v="Completed"/>
    <s v="Deepa Iyer"/>
    <s v="Credit Card"/>
    <n v="24"/>
    <n v="44.44"/>
    <n v="144000"/>
    <s v="West"/>
    <s v="September"/>
    <n v="9"/>
    <x v="11"/>
  </r>
  <r>
    <s v="ORD1055"/>
    <d v="2024-01-26T00:00:00"/>
    <s v="C030"/>
    <s v="Enterprise CRM Software"/>
    <s v="Software License"/>
    <n v="4"/>
    <n v="380000"/>
    <n v="160000"/>
    <n v="220000"/>
    <n v="0"/>
    <s v="Completed"/>
    <s v="Arjun Mehta"/>
    <s v="Net Banking"/>
    <n v="12"/>
    <n v="57.89"/>
    <n v="95000"/>
    <s v="North"/>
    <s v="January"/>
    <n v="1"/>
    <x v="23"/>
  </r>
  <r>
    <s v="ORD1056"/>
    <d v="2024-08-14T00:00:00"/>
    <s v="C024"/>
    <s v="Network Setup &amp; Config"/>
    <s v="IT Support"/>
    <n v="4"/>
    <n v="166400"/>
    <n v="88000"/>
    <n v="78400"/>
    <n v="20"/>
    <s v="In Progress"/>
    <s v="Sunita Pillai"/>
    <s v="Credit Card"/>
    <n v="24"/>
    <n v="47.12"/>
    <n v="41600"/>
    <s v="North"/>
    <s v="August"/>
    <n v="8"/>
    <x v="4"/>
  </r>
  <r>
    <s v="ORD1057"/>
    <d v="2024-10-28T00:00:00"/>
    <s v="C027"/>
    <s v="Firewall &amp; Network Security"/>
    <s v="Security Services"/>
    <n v="5"/>
    <n v="237500"/>
    <n v="100000"/>
    <n v="137500"/>
    <n v="5"/>
    <s v="Cancelled"/>
    <s v="Deepa Iyer"/>
    <s v="Cheque"/>
    <n v="24"/>
    <n v="57.89"/>
    <n v="47500"/>
    <s v="North"/>
    <s v="October"/>
    <n v="10"/>
    <x v="24"/>
  </r>
  <r>
    <s v="ORD1058"/>
    <d v="2024-02-09T00:00:00"/>
    <s v="C008"/>
    <s v="Firewall &amp; Network Security"/>
    <s v="Security Services"/>
    <n v="3"/>
    <n v="142500"/>
    <n v="60000"/>
    <n v="82500"/>
    <n v="5"/>
    <s v="In Progress"/>
    <s v="Priya Nair"/>
    <s v="Credit Card"/>
    <n v="6"/>
    <n v="57.89"/>
    <n v="47500"/>
    <s v="North"/>
    <s v="February"/>
    <n v="2"/>
    <x v="8"/>
  </r>
  <r>
    <s v="ORD1059"/>
    <d v="2024-04-28T00:00:00"/>
    <s v="C005"/>
    <s v="Cybersecurity Audit"/>
    <s v="Security Services"/>
    <n v="1"/>
    <n v="57000"/>
    <n v="25000"/>
    <n v="32000"/>
    <n v="5"/>
    <s v="Completed"/>
    <s v="Kavita Joshi"/>
    <s v="Net Banking"/>
    <n v="24"/>
    <n v="56.14"/>
    <n v="57000"/>
    <s v="West"/>
    <s v="April"/>
    <n v="4"/>
    <x v="11"/>
  </r>
  <r>
    <s v="ORD1060"/>
    <d v="2024-11-19T00:00:00"/>
    <s v="C013"/>
    <s v="Web Portal Development"/>
    <s v="Development"/>
    <n v="1"/>
    <n v="116000"/>
    <n v="60000"/>
    <n v="56000"/>
    <n v="20"/>
    <s v="In Progress"/>
    <s v="Nikhil Gupta"/>
    <s v="UPI"/>
    <n v="3"/>
    <n v="48.28"/>
    <n v="116000"/>
    <s v="North"/>
    <s v="November"/>
    <n v="11"/>
    <x v="25"/>
  </r>
  <r>
    <s v="ORD1061"/>
    <d v="2024-11-15T00:00:00"/>
    <s v="C028"/>
    <s v="RPA Implementation"/>
    <s v="AI &amp; Automation"/>
    <n v="5"/>
    <n v="680000"/>
    <n v="350000"/>
    <n v="330000"/>
    <n v="15"/>
    <s v="Cancelled"/>
    <s v="Arjun Mehta"/>
    <s v="Net Banking"/>
    <n v="6"/>
    <n v="48.53"/>
    <n v="136000"/>
    <s v="South"/>
    <s v="November"/>
    <n v="11"/>
    <x v="5"/>
  </r>
  <r>
    <s v="ORD1062"/>
    <d v="2024-11-21T00:00:00"/>
    <s v="C016"/>
    <s v="Cloud Infrastructure Setup"/>
    <s v="Cloud Services"/>
    <n v="4"/>
    <n v="684000"/>
    <n v="320000"/>
    <n v="364000"/>
    <n v="5"/>
    <s v="Cancelled"/>
    <s v="Nikhil Gupta"/>
    <s v="Credit Card"/>
    <n v="24"/>
    <n v="53.22"/>
    <n v="171000"/>
    <s v="South"/>
    <s v="November"/>
    <n v="11"/>
    <x v="22"/>
  </r>
  <r>
    <s v="ORD1063"/>
    <d v="2024-03-06T00:00:00"/>
    <s v="C018"/>
    <s v="Cloud Infrastructure Setup"/>
    <s v="Cloud Services"/>
    <n v="4"/>
    <n v="648000"/>
    <n v="320000"/>
    <n v="328000"/>
    <n v="10"/>
    <s v="In Progress"/>
    <s v="Rohit Sharma"/>
    <s v="Bank Transfer"/>
    <n v="24"/>
    <n v="50.62"/>
    <n v="162000"/>
    <s v="South"/>
    <s v="March"/>
    <n v="3"/>
    <x v="12"/>
  </r>
  <r>
    <s v="ORD1064"/>
    <d v="2024-03-10T00:00:00"/>
    <s v="C006"/>
    <s v="Cloud Migration Service"/>
    <s v="Cloud Services"/>
    <n v="3"/>
    <n v="399000"/>
    <n v="180000"/>
    <n v="219000"/>
    <n v="5"/>
    <s v="Completed"/>
    <s v="Deepa Iyer"/>
    <s v="UPI"/>
    <n v="12"/>
    <n v="54.89"/>
    <n v="133000"/>
    <s v="West"/>
    <s v="March"/>
    <n v="3"/>
    <x v="19"/>
  </r>
  <r>
    <s v="ORD1065"/>
    <d v="2024-06-21T00:00:00"/>
    <s v="C013"/>
    <s v="Firewall &amp; Network Security"/>
    <s v="Security Services"/>
    <n v="4"/>
    <n v="190000"/>
    <n v="80000"/>
    <n v="110000"/>
    <n v="5"/>
    <s v="Completed"/>
    <s v="Sunita Pillai"/>
    <s v="Bank Transfer"/>
    <n v="3"/>
    <n v="57.89"/>
    <n v="47500"/>
    <s v="North"/>
    <s v="June"/>
    <n v="6"/>
    <x v="25"/>
  </r>
  <r>
    <s v="ORD1066"/>
    <d v="2024-10-05T00:00:00"/>
    <s v="C025"/>
    <s v="Cloud Migration Service"/>
    <s v="Cloud Services"/>
    <n v="1"/>
    <n v="140000"/>
    <n v="60000"/>
    <n v="80000"/>
    <n v="0"/>
    <s v="Completed"/>
    <s v="Rohit Sharma"/>
    <s v="Net Banking"/>
    <n v="6"/>
    <n v="57.14"/>
    <n v="140000"/>
    <s v="North"/>
    <s v="October"/>
    <n v="10"/>
    <x v="3"/>
  </r>
  <r>
    <s v="ORD1067"/>
    <d v="2024-12-21T00:00:00"/>
    <s v="C004"/>
    <s v="Web Portal Development"/>
    <s v="Development"/>
    <n v="2"/>
    <n v="275500"/>
    <n v="120000"/>
    <n v="155500"/>
    <n v="5"/>
    <s v="Cancelled"/>
    <s v="Sandeep Rao"/>
    <s v="Cheque"/>
    <n v="6"/>
    <n v="56.44"/>
    <n v="137750"/>
    <s v="North"/>
    <s v="December"/>
    <n v="12"/>
    <x v="26"/>
  </r>
  <r>
    <s v="ORD1068"/>
    <d v="2024-11-06T00:00:00"/>
    <s v="C024"/>
    <s v="Enterprise CRM Software"/>
    <s v="Software License"/>
    <n v="2"/>
    <n v="180500"/>
    <n v="80000"/>
    <n v="100500"/>
    <n v="5"/>
    <s v="Completed"/>
    <s v="Pooja Singh"/>
    <s v="Bank Transfer"/>
    <n v="12"/>
    <n v="55.68"/>
    <n v="90250"/>
    <s v="North"/>
    <s v="November"/>
    <n v="11"/>
    <x v="4"/>
  </r>
  <r>
    <s v="ORD1069"/>
    <d v="2024-10-21T00:00:00"/>
    <s v="C013"/>
    <s v="Chatbot Development"/>
    <s v="AI &amp; Automation"/>
    <n v="2"/>
    <n v="260000"/>
    <n v="110000"/>
    <n v="150000"/>
    <n v="0"/>
    <s v="In Progress"/>
    <s v="Deepa Iyer"/>
    <s v="Bank Transfer"/>
    <n v="12"/>
    <n v="57.69"/>
    <n v="130000"/>
    <s v="North"/>
    <s v="October"/>
    <n v="10"/>
    <x v="25"/>
  </r>
  <r>
    <s v="ORD1070"/>
    <d v="2024-12-16T00:00:00"/>
    <s v="C004"/>
    <s v="Web Portal Development"/>
    <s v="Development"/>
    <n v="1"/>
    <n v="137750"/>
    <n v="60000"/>
    <n v="77750"/>
    <n v="5"/>
    <s v="In Progress"/>
    <s v="Nikhil Gupta"/>
    <s v="Cheque"/>
    <n v="3"/>
    <n v="56.44"/>
    <n v="137750"/>
    <s v="North"/>
    <s v="December"/>
    <n v="12"/>
    <x v="26"/>
  </r>
  <r>
    <s v="ORD1071"/>
    <d v="2024-09-16T00:00:00"/>
    <s v="C001"/>
    <s v="RPA Implementation"/>
    <s v="AI &amp; Automation"/>
    <n v="4"/>
    <n v="640000"/>
    <n v="280000"/>
    <n v="360000"/>
    <n v="0"/>
    <s v="Completed"/>
    <s v="Kavita Joshi"/>
    <s v="UPI"/>
    <n v="6"/>
    <n v="56.25"/>
    <n v="160000"/>
    <s v="South"/>
    <s v="September"/>
    <n v="9"/>
    <x v="1"/>
  </r>
  <r>
    <s v="ORD1072"/>
    <d v="2024-12-02T00:00:00"/>
    <s v="C021"/>
    <s v="Firewall &amp; Network Security"/>
    <s v="Security Services"/>
    <n v="5"/>
    <n v="200000"/>
    <n v="100000"/>
    <n v="100000"/>
    <n v="20"/>
    <s v="In Progress"/>
    <s v="Sunita Pillai"/>
    <s v="UPI"/>
    <n v="24"/>
    <n v="50"/>
    <n v="40000"/>
    <s v="West"/>
    <s v="December"/>
    <n v="12"/>
    <x v="27"/>
  </r>
  <r>
    <s v="ORD1073"/>
    <d v="2024-10-28T00:00:00"/>
    <s v="C027"/>
    <s v="AWS Management Package"/>
    <s v="Cloud Services"/>
    <n v="3"/>
    <n v="342000"/>
    <n v="150000"/>
    <n v="192000"/>
    <n v="5"/>
    <s v="Completed"/>
    <s v="Sunita Pillai"/>
    <s v="Net Banking"/>
    <n v="24"/>
    <n v="56.14"/>
    <n v="114000"/>
    <s v="North"/>
    <s v="October"/>
    <n v="10"/>
    <x v="24"/>
  </r>
  <r>
    <s v="ORD1074"/>
    <d v="2024-11-07T00:00:00"/>
    <s v="C006"/>
    <s v="Annual AMC Contract"/>
    <s v="IT Support"/>
    <n v="2"/>
    <n v="79800"/>
    <n v="36000"/>
    <n v="43800"/>
    <n v="5"/>
    <s v="Completed"/>
    <s v="Kavita Joshi"/>
    <s v="Cheque"/>
    <n v="12"/>
    <n v="54.89"/>
    <n v="39900"/>
    <s v="West"/>
    <s v="November"/>
    <n v="11"/>
    <x v="19"/>
  </r>
  <r>
    <s v="ORD1075"/>
    <d v="2024-10-21T00:00:00"/>
    <s v="C003"/>
    <s v="Penetration Testing"/>
    <s v="Security Services"/>
    <n v="4"/>
    <n v="266000"/>
    <n v="120000"/>
    <n v="146000"/>
    <n v="5"/>
    <s v="In Progress"/>
    <s v="Deepa Iyer"/>
    <s v="UPI"/>
    <n v="24"/>
    <n v="54.89"/>
    <n v="66500"/>
    <s v="South"/>
    <s v="October"/>
    <n v="10"/>
    <x v="7"/>
  </r>
  <r>
    <s v="ORD1076"/>
    <d v="2024-08-17T00:00:00"/>
    <s v="C003"/>
    <s v="Data Analytics Dashboard"/>
    <s v="Analytics"/>
    <n v="2"/>
    <n v="190000"/>
    <n v="90000"/>
    <n v="100000"/>
    <n v="5"/>
    <s v="Cancelled"/>
    <s v="Deepa Iyer"/>
    <s v="Cheque"/>
    <n v="12"/>
    <n v="52.63"/>
    <n v="95000"/>
    <s v="South"/>
    <s v="August"/>
    <n v="8"/>
    <x v="7"/>
  </r>
  <r>
    <s v="ORD1077"/>
    <d v="2024-08-30T00:00:00"/>
    <s v="C012"/>
    <s v="RPA Implementation"/>
    <s v="AI &amp; Automation"/>
    <n v="5"/>
    <n v="760000"/>
    <n v="350000"/>
    <n v="410000"/>
    <n v="5"/>
    <s v="Completed"/>
    <s v="Sunita Pillai"/>
    <s v="Cheque"/>
    <n v="12"/>
    <n v="53.95"/>
    <n v="152000"/>
    <s v="North"/>
    <s v="August"/>
    <n v="8"/>
    <x v="18"/>
  </r>
  <r>
    <s v="ORD1078"/>
    <d v="2024-12-28T00:00:00"/>
    <s v="C007"/>
    <s v="Business Intelligence Report"/>
    <s v="Analytics"/>
    <n v="1"/>
    <n v="55250"/>
    <n v="28000"/>
    <n v="27250"/>
    <n v="15"/>
    <s v="In Progress"/>
    <s v="Amit Verma"/>
    <s v="Credit Card"/>
    <n v="6"/>
    <n v="49.32"/>
    <n v="55250"/>
    <s v="West"/>
    <s v="December"/>
    <n v="12"/>
    <x v="9"/>
  </r>
  <r>
    <s v="ORD1079"/>
    <d v="2024-12-11T00:00:00"/>
    <s v="C025"/>
    <s v="Network Setup &amp; Config"/>
    <s v="IT Support"/>
    <n v="5"/>
    <n v="247000"/>
    <n v="110000"/>
    <n v="137000"/>
    <n v="5"/>
    <s v="Completed"/>
    <s v="Deepa Iyer"/>
    <s v="Cheque"/>
    <n v="6"/>
    <n v="55.47"/>
    <n v="49400"/>
    <s v="North"/>
    <s v="December"/>
    <n v="12"/>
    <x v="3"/>
  </r>
  <r>
    <s v="ORD1080"/>
    <d v="2024-09-28T00:00:00"/>
    <s v="C023"/>
    <s v="Mobile App Development"/>
    <s v="Development"/>
    <n v="2"/>
    <n v="380000"/>
    <n v="170000"/>
    <n v="210000"/>
    <n v="5"/>
    <s v="Completed"/>
    <s v="Rohit Sharma"/>
    <s v="Net Banking"/>
    <n v="12"/>
    <n v="55.26"/>
    <n v="190000"/>
    <s v="South"/>
    <s v="September"/>
    <n v="9"/>
    <x v="28"/>
  </r>
  <r>
    <s v="ORD1081"/>
    <d v="2024-12-23T00:00:00"/>
    <s v="C021"/>
    <s v="Annual AMC Contract"/>
    <s v="IT Support"/>
    <n v="1"/>
    <n v="33600"/>
    <n v="18000"/>
    <n v="15600"/>
    <n v="20"/>
    <s v="Completed"/>
    <s v="Pooja Singh"/>
    <s v="Cheque"/>
    <n v="24"/>
    <n v="46.43"/>
    <n v="33600"/>
    <s v="West"/>
    <s v="December"/>
    <n v="12"/>
    <x v="27"/>
  </r>
  <r>
    <s v="ORD1082"/>
    <d v="2024-09-02T00:00:00"/>
    <s v="C006"/>
    <s v="Cloud Migration Service"/>
    <s v="Cloud Services"/>
    <n v="3"/>
    <n v="336000"/>
    <n v="180000"/>
    <n v="156000"/>
    <n v="20"/>
    <s v="Completed"/>
    <s v="Priya Nair"/>
    <s v="Bank Transfer"/>
    <n v="24"/>
    <n v="46.43"/>
    <n v="112000"/>
    <s v="West"/>
    <s v="September"/>
    <n v="9"/>
    <x v="19"/>
  </r>
  <r>
    <s v="ORD1083"/>
    <d v="2024-12-16T00:00:00"/>
    <s v="C022"/>
    <s v="Cloud Migration Service"/>
    <s v="Cloud Services"/>
    <n v="2"/>
    <n v="280000"/>
    <n v="120000"/>
    <n v="160000"/>
    <n v="0"/>
    <s v="In Progress"/>
    <s v="Sandeep Rao"/>
    <s v="Bank Transfer"/>
    <n v="6"/>
    <n v="57.14"/>
    <n v="140000"/>
    <s v="South"/>
    <s v="December"/>
    <n v="12"/>
    <x v="6"/>
  </r>
  <r>
    <s v="ORD1084"/>
    <d v="2024-03-01T00:00:00"/>
    <s v="C014"/>
    <s v="API Integration Service"/>
    <s v="Development"/>
    <n v="5"/>
    <n v="352000"/>
    <n v="190000"/>
    <n v="162000"/>
    <n v="20"/>
    <s v="In Progress"/>
    <s v="Deepa Iyer"/>
    <s v="Net Banking"/>
    <n v="24"/>
    <n v="46.02"/>
    <n v="70400"/>
    <s v="South"/>
    <s v="March"/>
    <n v="3"/>
    <x v="2"/>
  </r>
  <r>
    <s v="ORD1085"/>
    <d v="2024-08-18T00:00:00"/>
    <s v="C010"/>
    <s v="Web Portal Development"/>
    <s v="Development"/>
    <n v="4"/>
    <n v="551000"/>
    <n v="240000"/>
    <n v="311000"/>
    <n v="5"/>
    <s v="In Progress"/>
    <s v="Pooja Singh"/>
    <s v="Bank Transfer"/>
    <n v="3"/>
    <n v="56.44"/>
    <n v="137750"/>
    <s v="South"/>
    <s v="August"/>
    <n v="8"/>
    <x v="29"/>
  </r>
  <r>
    <s v="ORD1086"/>
    <d v="2024-04-16T00:00:00"/>
    <s v="C009"/>
    <s v="AWS Management Package"/>
    <s v="Cloud Services"/>
    <n v="2"/>
    <n v="240000"/>
    <n v="100000"/>
    <n v="140000"/>
    <n v="0"/>
    <s v="Completed"/>
    <s v="Arjun Mehta"/>
    <s v="Bank Transfer"/>
    <n v="6"/>
    <n v="58.33"/>
    <n v="120000"/>
    <s v="South"/>
    <s v="April"/>
    <n v="4"/>
    <x v="0"/>
  </r>
  <r>
    <s v="ORD1087"/>
    <d v="2024-01-02T00:00:00"/>
    <s v="C023"/>
    <s v="API Integration Service"/>
    <s v="Development"/>
    <n v="4"/>
    <n v="334400"/>
    <n v="152000"/>
    <n v="182400"/>
    <n v="5"/>
    <s v="Completed"/>
    <s v="Deepa Iyer"/>
    <s v="Cheque"/>
    <n v="12"/>
    <n v="54.55"/>
    <n v="83600"/>
    <s v="South"/>
    <s v="January"/>
    <n v="1"/>
    <x v="28"/>
  </r>
  <r>
    <s v="ORD1088"/>
    <d v="2024-12-25T00:00:00"/>
    <s v="C003"/>
    <s v="Penetration Testing"/>
    <s v="Security Services"/>
    <n v="3"/>
    <n v="168000"/>
    <n v="90000"/>
    <n v="78000"/>
    <n v="20"/>
    <s v="Cancelled"/>
    <s v="Pooja Singh"/>
    <s v="Credit Card"/>
    <n v="24"/>
    <n v="46.43"/>
    <n v="56000"/>
    <s v="South"/>
    <s v="December"/>
    <n v="12"/>
    <x v="7"/>
  </r>
  <r>
    <s v="ORD1089"/>
    <d v="2024-02-28T00:00:00"/>
    <s v="C021"/>
    <s v="ERP Implementation"/>
    <s v="Software License"/>
    <n v="3"/>
    <n v="528000"/>
    <n v="270000"/>
    <n v="258000"/>
    <n v="20"/>
    <s v="Completed"/>
    <s v="Priya Nair"/>
    <s v="Bank Transfer"/>
    <n v="6"/>
    <n v="48.86"/>
    <n v="176000"/>
    <s v="West"/>
    <s v="February"/>
    <n v="2"/>
    <x v="27"/>
  </r>
  <r>
    <s v="ORD1090"/>
    <d v="2024-06-06T00:00:00"/>
    <s v="C027"/>
    <s v="Web Portal Development"/>
    <s v="Development"/>
    <n v="3"/>
    <n v="413250"/>
    <n v="180000"/>
    <n v="233250"/>
    <n v="5"/>
    <s v="Completed"/>
    <s v="Sunita Pillai"/>
    <s v="Cheque"/>
    <n v="24"/>
    <n v="56.44"/>
    <n v="137750"/>
    <s v="North"/>
    <s v="June"/>
    <n v="6"/>
    <x v="24"/>
  </r>
  <r>
    <s v="ORD1091"/>
    <d v="2024-05-19T00:00:00"/>
    <s v="C016"/>
    <s v="IT Support &amp; Maintenance"/>
    <s v="IT Support"/>
    <n v="1"/>
    <n v="31500"/>
    <n v="15000"/>
    <n v="16500"/>
    <n v="10"/>
    <s v="Completed"/>
    <s v="Nikhil Gupta"/>
    <s v="Cheque"/>
    <n v="12"/>
    <n v="52.38"/>
    <n v="31500"/>
    <s v="South"/>
    <s v="May"/>
    <n v="5"/>
    <x v="22"/>
  </r>
  <r>
    <s v="ORD1092"/>
    <d v="2024-12-22T00:00:00"/>
    <s v="C027"/>
    <s v="Web Portal Development"/>
    <s v="Development"/>
    <n v="5"/>
    <n v="725000"/>
    <n v="300000"/>
    <n v="425000"/>
    <n v="0"/>
    <s v="Cancelled"/>
    <s v="Sandeep Rao"/>
    <s v="Net Banking"/>
    <n v="3"/>
    <n v="58.62"/>
    <n v="145000"/>
    <s v="North"/>
    <s v="December"/>
    <n v="12"/>
    <x v="24"/>
  </r>
  <r>
    <s v="ORD1093"/>
    <d v="2024-03-30T00:00:00"/>
    <s v="C021"/>
    <s v="IT Support &amp; Maintenance"/>
    <s v="IT Support"/>
    <n v="3"/>
    <n v="105000"/>
    <n v="45000"/>
    <n v="60000"/>
    <n v="0"/>
    <s v="In Progress"/>
    <s v="Nikhil Gupta"/>
    <s v="UPI"/>
    <n v="3"/>
    <n v="57.14"/>
    <n v="35000"/>
    <s v="West"/>
    <s v="March"/>
    <n v="3"/>
    <x v="27"/>
  </r>
  <r>
    <s v="ORD1094"/>
    <d v="2024-08-28T00:00:00"/>
    <s v="C011"/>
    <s v="Business Intelligence Report"/>
    <s v="Analytics"/>
    <n v="1"/>
    <n v="52000"/>
    <n v="28000"/>
    <n v="24000"/>
    <n v="20"/>
    <s v="Completed"/>
    <s v="Kavita Joshi"/>
    <s v="UPI"/>
    <n v="24"/>
    <n v="46.15"/>
    <n v="52000"/>
    <s v="South"/>
    <s v="August"/>
    <n v="8"/>
    <x v="15"/>
  </r>
  <r>
    <s v="ORD1095"/>
    <d v="2024-05-27T00:00:00"/>
    <s v="C013"/>
    <s v="Mobile App Development"/>
    <s v="Development"/>
    <n v="1"/>
    <n v="190000"/>
    <n v="85000"/>
    <n v="105000"/>
    <n v="5"/>
    <s v="Completed"/>
    <s v="Kavita Joshi"/>
    <s v="Cheque"/>
    <n v="12"/>
    <n v="55.26"/>
    <n v="190000"/>
    <s v="North"/>
    <s v="May"/>
    <n v="5"/>
    <x v="25"/>
  </r>
  <r>
    <s v="ORD1096"/>
    <d v="2024-02-29T00:00:00"/>
    <s v="C013"/>
    <s v="Network Setup &amp; Config"/>
    <s v="IT Support"/>
    <n v="1"/>
    <n v="44200"/>
    <n v="22000"/>
    <n v="22200"/>
    <n v="15"/>
    <s v="In Progress"/>
    <s v="Sunita Pillai"/>
    <s v="UPI"/>
    <n v="3"/>
    <n v="50.23"/>
    <n v="44200"/>
    <s v="North"/>
    <s v="February"/>
    <n v="2"/>
    <x v="25"/>
  </r>
  <r>
    <s v="ORD1097"/>
    <d v="2024-04-06T00:00:00"/>
    <s v="C020"/>
    <s v="Annual AMC Contract"/>
    <s v="IT Support"/>
    <n v="4"/>
    <n v="134400"/>
    <n v="72000"/>
    <n v="62400"/>
    <n v="20"/>
    <s v="Completed"/>
    <s v="Deepa Iyer"/>
    <s v="Cheque"/>
    <n v="6"/>
    <n v="46.43"/>
    <n v="33600"/>
    <s v="North"/>
    <s v="April"/>
    <n v="4"/>
    <x v="21"/>
  </r>
  <r>
    <s v="ORD1098"/>
    <d v="2024-05-27T00:00:00"/>
    <s v="C023"/>
    <s v="Annual AMC Contract"/>
    <s v="IT Support"/>
    <n v="1"/>
    <n v="42000"/>
    <n v="18000"/>
    <n v="24000"/>
    <n v="0"/>
    <s v="Cancelled"/>
    <s v="Pooja Singh"/>
    <s v="Credit Card"/>
    <n v="6"/>
    <n v="57.14"/>
    <n v="42000"/>
    <s v="South"/>
    <s v="May"/>
    <n v="5"/>
    <x v="28"/>
  </r>
  <r>
    <s v="ORD1099"/>
    <d v="2024-06-08T00:00:00"/>
    <s v="C018"/>
    <s v="RPA Implementation"/>
    <s v="AI &amp; Automation"/>
    <n v="1"/>
    <n v="160000"/>
    <n v="70000"/>
    <n v="90000"/>
    <n v="0"/>
    <s v="Completed"/>
    <s v="Sunita Pillai"/>
    <s v="Bank Transfer"/>
    <n v="6"/>
    <n v="56.25"/>
    <n v="160000"/>
    <s v="South"/>
    <s v="June"/>
    <n v="6"/>
    <x v="12"/>
  </r>
  <r>
    <s v="ORD1100"/>
    <d v="2024-09-12T00:00:00"/>
    <s v="C010"/>
    <s v="Network Setup &amp; Config"/>
    <s v="IT Support"/>
    <n v="3"/>
    <n v="148200"/>
    <n v="66000"/>
    <n v="82200"/>
    <n v="5"/>
    <s v="Completed"/>
    <s v="Sunita Pillai"/>
    <s v="Credit Card"/>
    <n v="24"/>
    <n v="55.47"/>
    <n v="49400"/>
    <s v="South"/>
    <s v="September"/>
    <n v="9"/>
    <x v="29"/>
  </r>
  <r>
    <s v="ORD1101"/>
    <d v="2024-10-21T00:00:00"/>
    <s v="C030"/>
    <s v="API Integration Service"/>
    <s v="Development"/>
    <n v="5"/>
    <n v="374000"/>
    <n v="190000"/>
    <n v="184000"/>
    <n v="15"/>
    <s v="Completed"/>
    <s v="Priya Nair"/>
    <s v="Cheque"/>
    <n v="24"/>
    <n v="49.2"/>
    <n v="74800"/>
    <s v="North"/>
    <s v="October"/>
    <n v="10"/>
    <x v="23"/>
  </r>
  <r>
    <s v="ORD1102"/>
    <d v="2024-06-23T00:00:00"/>
    <s v="C017"/>
    <s v="Firewall &amp; Network Security"/>
    <s v="Security Services"/>
    <n v="1"/>
    <n v="47500"/>
    <n v="20000"/>
    <n v="27500"/>
    <n v="5"/>
    <s v="Cancelled"/>
    <s v="Sandeep Rao"/>
    <s v="Net Banking"/>
    <n v="24"/>
    <n v="57.89"/>
    <n v="47500"/>
    <s v="South"/>
    <s v="June"/>
    <n v="6"/>
    <x v="20"/>
  </r>
  <r>
    <s v="ORD1103"/>
    <d v="2024-03-17T00:00:00"/>
    <s v="C016"/>
    <s v="AI/ML Model Development"/>
    <s v="AI &amp; Automation"/>
    <n v="3"/>
    <n v="756000"/>
    <n v="360000"/>
    <n v="396000"/>
    <n v="10"/>
    <s v="In Progress"/>
    <s v="Nikhil Gupta"/>
    <s v="UPI"/>
    <n v="12"/>
    <n v="52.38"/>
    <n v="252000"/>
    <s v="South"/>
    <s v="March"/>
    <n v="3"/>
    <x v="22"/>
  </r>
  <r>
    <s v="ORD1104"/>
    <d v="2024-04-06T00:00:00"/>
    <s v="C008"/>
    <s v="Web Portal Development"/>
    <s v="Development"/>
    <n v="4"/>
    <n v="580000"/>
    <n v="240000"/>
    <n v="340000"/>
    <n v="0"/>
    <s v="Completed"/>
    <s v="Rohit Sharma"/>
    <s v="Cheque"/>
    <n v="24"/>
    <n v="58.62"/>
    <n v="145000"/>
    <s v="North"/>
    <s v="April"/>
    <n v="4"/>
    <x v="8"/>
  </r>
  <r>
    <s v="ORD1105"/>
    <d v="2024-12-27T00:00:00"/>
    <s v="C013"/>
    <s v="Chatbot Development"/>
    <s v="AI &amp; Automation"/>
    <n v="2"/>
    <n v="247000"/>
    <n v="110000"/>
    <n v="137000"/>
    <n v="5"/>
    <s v="Completed"/>
    <s v="Amit Verma"/>
    <s v="Net Banking"/>
    <n v="12"/>
    <n v="55.47"/>
    <n v="123500"/>
    <s v="North"/>
    <s v="December"/>
    <n v="12"/>
    <x v="25"/>
  </r>
  <r>
    <s v="ORD1106"/>
    <d v="2024-02-21T00:00:00"/>
    <s v="C015"/>
    <s v="Enterprise CRM Software"/>
    <s v="Software License"/>
    <n v="5"/>
    <n v="451250"/>
    <n v="200000"/>
    <n v="251250"/>
    <n v="5"/>
    <s v="Completed"/>
    <s v="Amit Verma"/>
    <s v="UPI"/>
    <n v="6"/>
    <n v="55.68"/>
    <n v="90250"/>
    <s v="West"/>
    <s v="February"/>
    <n v="2"/>
    <x v="10"/>
  </r>
  <r>
    <s v="ORD1107"/>
    <d v="2024-02-08T00:00:00"/>
    <s v="C009"/>
    <s v="Business Intelligence Report"/>
    <s v="Analytics"/>
    <n v="5"/>
    <n v="276250"/>
    <n v="140000"/>
    <n v="136250"/>
    <n v="15"/>
    <s v="Completed"/>
    <s v="Priya Nair"/>
    <s v="Cheque"/>
    <n v="24"/>
    <n v="49.32"/>
    <n v="55250"/>
    <s v="South"/>
    <s v="February"/>
    <n v="2"/>
    <x v="0"/>
  </r>
  <r>
    <s v="ORD1108"/>
    <d v="2024-06-11T00:00:00"/>
    <s v="C029"/>
    <s v="Annual AMC Contract"/>
    <s v="IT Support"/>
    <n v="5"/>
    <n v="210000"/>
    <n v="90000"/>
    <n v="120000"/>
    <n v="0"/>
    <s v="In Progress"/>
    <s v="Priya Nair"/>
    <s v="Credit Card"/>
    <n v="12"/>
    <n v="57.14"/>
    <n v="42000"/>
    <s v="South"/>
    <s v="June"/>
    <n v="6"/>
    <x v="13"/>
  </r>
  <r>
    <s v="ORD1109"/>
    <d v="2024-04-26T00:00:00"/>
    <s v="C014"/>
    <s v="Enterprise CRM Software"/>
    <s v="Software License"/>
    <n v="1"/>
    <n v="90250"/>
    <n v="40000"/>
    <n v="50250"/>
    <n v="5"/>
    <s v="Completed"/>
    <s v="Sandeep Rao"/>
    <s v="Bank Transfer"/>
    <n v="3"/>
    <n v="55.68"/>
    <n v="90250"/>
    <s v="South"/>
    <s v="April"/>
    <n v="4"/>
    <x v="2"/>
  </r>
  <r>
    <s v="ORD1110"/>
    <d v="2024-06-15T00:00:00"/>
    <s v="C010"/>
    <s v="AI/ML Model Development"/>
    <s v="AI &amp; Automation"/>
    <n v="3"/>
    <n v="798000"/>
    <n v="360000"/>
    <n v="438000"/>
    <n v="5"/>
    <s v="Completed"/>
    <s v="Deepa Iyer"/>
    <s v="Net Banking"/>
    <n v="24"/>
    <n v="54.89"/>
    <n v="266000"/>
    <s v="South"/>
    <s v="June"/>
    <n v="6"/>
    <x v="29"/>
  </r>
  <r>
    <s v="ORD1111"/>
    <d v="2024-10-16T00:00:00"/>
    <s v="C006"/>
    <s v="HR Management System"/>
    <s v="Software License"/>
    <n v="2"/>
    <n v="160000"/>
    <n v="70000"/>
    <n v="90000"/>
    <n v="0"/>
    <s v="In Progress"/>
    <s v="Nikhil Gupta"/>
    <s v="Net Banking"/>
    <n v="6"/>
    <n v="56.25"/>
    <n v="80000"/>
    <s v="West"/>
    <s v="October"/>
    <n v="10"/>
    <x v="19"/>
  </r>
  <r>
    <s v="ORD1112"/>
    <d v="2024-09-11T00:00:00"/>
    <s v="C005"/>
    <s v="Penetration Testing"/>
    <s v="Security Services"/>
    <n v="4"/>
    <n v="238000"/>
    <n v="120000"/>
    <n v="118000"/>
    <n v="15"/>
    <s v="Completed"/>
    <s v="Sunita Pillai"/>
    <s v="Cheque"/>
    <n v="3"/>
    <n v="49.58"/>
    <n v="59500"/>
    <s v="West"/>
    <s v="September"/>
    <n v="9"/>
    <x v="11"/>
  </r>
  <r>
    <s v="ORD1113"/>
    <d v="2024-08-26T00:00:00"/>
    <s v="C022"/>
    <s v="Mobile App Development"/>
    <s v="Development"/>
    <n v="2"/>
    <n v="400000"/>
    <n v="170000"/>
    <n v="230000"/>
    <n v="0"/>
    <s v="Completed"/>
    <s v="Kavita Joshi"/>
    <s v="Net Banking"/>
    <n v="12"/>
    <n v="57.5"/>
    <n v="200000"/>
    <s v="South"/>
    <s v="August"/>
    <n v="8"/>
    <x v="6"/>
  </r>
  <r>
    <s v="ORD1114"/>
    <d v="2024-11-23T00:00:00"/>
    <s v="C023"/>
    <s v="Firewall &amp; Network Security"/>
    <s v="Security Services"/>
    <n v="4"/>
    <n v="160000"/>
    <n v="80000"/>
    <n v="80000"/>
    <n v="20"/>
    <s v="Completed"/>
    <s v="Deepa Iyer"/>
    <s v="UPI"/>
    <n v="24"/>
    <n v="50"/>
    <n v="40000"/>
    <s v="South"/>
    <s v="November"/>
    <n v="11"/>
    <x v="28"/>
  </r>
  <r>
    <s v="ORD1115"/>
    <d v="2024-12-09T00:00:00"/>
    <s v="C012"/>
    <s v="Web Portal Development"/>
    <s v="Development"/>
    <n v="3"/>
    <n v="369750"/>
    <n v="180000"/>
    <n v="189750"/>
    <n v="15"/>
    <s v="Completed"/>
    <s v="Rohit Sharma"/>
    <s v="UPI"/>
    <n v="12"/>
    <n v="51.32"/>
    <n v="123250"/>
    <s v="North"/>
    <s v="December"/>
    <n v="12"/>
    <x v="18"/>
  </r>
  <r>
    <s v="ORD1116"/>
    <d v="2024-01-05T00:00:00"/>
    <s v="C022"/>
    <s v="Cloud Migration Service"/>
    <s v="Cloud Services"/>
    <n v="5"/>
    <n v="595000"/>
    <n v="300000"/>
    <n v="295000"/>
    <n v="15"/>
    <s v="Completed"/>
    <s v="Sandeep Rao"/>
    <s v="Credit Card"/>
    <n v="12"/>
    <n v="49.58"/>
    <n v="119000"/>
    <s v="South"/>
    <s v="January"/>
    <n v="1"/>
    <x v="6"/>
  </r>
  <r>
    <s v="ORD1117"/>
    <d v="2024-04-22T00:00:00"/>
    <s v="C020"/>
    <s v="Firewall &amp; Network Security"/>
    <s v="Security Services"/>
    <n v="2"/>
    <n v="85000"/>
    <n v="40000"/>
    <n v="45000"/>
    <n v="15"/>
    <s v="Completed"/>
    <s v="Rohit Sharma"/>
    <s v="Cheque"/>
    <n v="24"/>
    <n v="52.94"/>
    <n v="42500"/>
    <s v="North"/>
    <s v="April"/>
    <n v="4"/>
    <x v="21"/>
  </r>
  <r>
    <s v="ORD1118"/>
    <d v="2024-01-18T00:00:00"/>
    <s v="C024"/>
    <s v="ERP Implementation"/>
    <s v="Software License"/>
    <n v="1"/>
    <n v="209000"/>
    <n v="90000"/>
    <n v="119000"/>
    <n v="5"/>
    <s v="Completed"/>
    <s v="Nikhil Gupta"/>
    <s v="Credit Card"/>
    <n v="6"/>
    <n v="56.94"/>
    <n v="209000"/>
    <s v="North"/>
    <s v="January"/>
    <n v="1"/>
    <x v="4"/>
  </r>
  <r>
    <s v="ORD1119"/>
    <d v="2024-03-08T00:00:00"/>
    <s v="C029"/>
    <s v="AI/ML Model Development"/>
    <s v="AI &amp; Automation"/>
    <n v="5"/>
    <n v="1260000"/>
    <n v="600000"/>
    <n v="660000"/>
    <n v="10"/>
    <s v="Completed"/>
    <s v="Amit Verma"/>
    <s v="Cheque"/>
    <n v="24"/>
    <n v="52.38"/>
    <n v="252000"/>
    <s v="South"/>
    <s v="March"/>
    <n v="3"/>
    <x v="13"/>
  </r>
  <r>
    <s v="ORD1120"/>
    <d v="2024-05-31T00:00:00"/>
    <s v="C011"/>
    <s v="Enterprise CRM Software"/>
    <s v="Software License"/>
    <n v="4"/>
    <n v="380000"/>
    <n v="160000"/>
    <n v="220000"/>
    <n v="0"/>
    <s v="Completed"/>
    <s v="Deepa Iyer"/>
    <s v="UPI"/>
    <n v="12"/>
    <n v="57.89"/>
    <n v="95000"/>
    <s v="South"/>
    <s v="May"/>
    <n v="5"/>
    <x v="15"/>
  </r>
  <r>
    <s v="ORD1121"/>
    <d v="2024-02-16T00:00:00"/>
    <s v="C001"/>
    <s v="Firewall &amp; Network Security"/>
    <s v="Security Services"/>
    <n v="5"/>
    <n v="250000"/>
    <n v="100000"/>
    <n v="150000"/>
    <n v="0"/>
    <s v="Completed"/>
    <s v="Kavita Joshi"/>
    <s v="Cheque"/>
    <n v="24"/>
    <n v="60"/>
    <n v="50000"/>
    <s v="South"/>
    <s v="February"/>
    <n v="2"/>
    <x v="1"/>
  </r>
  <r>
    <s v="ORD1122"/>
    <d v="2024-11-22T00:00:00"/>
    <s v="C004"/>
    <s v="Penetration Testing"/>
    <s v="Security Services"/>
    <n v="4"/>
    <n v="280000"/>
    <n v="120000"/>
    <n v="160000"/>
    <n v="0"/>
    <s v="In Progress"/>
    <s v="Arjun Mehta"/>
    <s v="Cheque"/>
    <n v="6"/>
    <n v="57.14"/>
    <n v="70000"/>
    <s v="North"/>
    <s v="November"/>
    <n v="11"/>
    <x v="26"/>
  </r>
  <r>
    <s v="ORD1123"/>
    <d v="2024-11-25T00:00:00"/>
    <s v="C030"/>
    <s v="Data Analytics Dashboard"/>
    <s v="Analytics"/>
    <n v="4"/>
    <n v="400000"/>
    <n v="180000"/>
    <n v="220000"/>
    <n v="0"/>
    <s v="Completed"/>
    <s v="Rohit Sharma"/>
    <s v="Bank Transfer"/>
    <n v="12"/>
    <n v="55"/>
    <n v="100000"/>
    <s v="North"/>
    <s v="November"/>
    <n v="11"/>
    <x v="23"/>
  </r>
  <r>
    <s v="ORD1124"/>
    <d v="2024-10-27T00:00:00"/>
    <s v="C029"/>
    <s v="Mobile App Development"/>
    <s v="Development"/>
    <n v="2"/>
    <n v="380000"/>
    <n v="170000"/>
    <n v="210000"/>
    <n v="5"/>
    <s v="Completed"/>
    <s v="Kavita Joshi"/>
    <s v="Net Banking"/>
    <n v="24"/>
    <n v="55.26"/>
    <n v="190000"/>
    <s v="South"/>
    <s v="October"/>
    <n v="10"/>
    <x v="13"/>
  </r>
  <r>
    <s v="ORD1125"/>
    <d v="2024-10-27T00:00:00"/>
    <s v="C005"/>
    <s v="RPA Implementation"/>
    <s v="AI &amp; Automation"/>
    <n v="1"/>
    <n v="128000"/>
    <n v="70000"/>
    <n v="58000"/>
    <n v="20"/>
    <s v="Completed"/>
    <s v="Pooja Singh"/>
    <s v="UPI"/>
    <n v="12"/>
    <n v="45.31"/>
    <n v="128000"/>
    <s v="West"/>
    <s v="October"/>
    <n v="10"/>
    <x v="11"/>
  </r>
  <r>
    <s v="ORD1126"/>
    <d v="2024-01-17T00:00:00"/>
    <s v="C007"/>
    <s v="IT Support &amp; Maintenance"/>
    <s v="IT Support"/>
    <n v="4"/>
    <n v="140000"/>
    <n v="60000"/>
    <n v="80000"/>
    <n v="0"/>
    <s v="Completed"/>
    <s v="Priya Nair"/>
    <s v="Cheque"/>
    <n v="12"/>
    <n v="57.14"/>
    <n v="35000"/>
    <s v="West"/>
    <s v="January"/>
    <n v="1"/>
    <x v="9"/>
  </r>
  <r>
    <s v="ORD1127"/>
    <d v="2024-02-01T00:00:00"/>
    <s v="C007"/>
    <s v="Enterprise CRM Software"/>
    <s v="Software License"/>
    <n v="4"/>
    <n v="380000"/>
    <n v="160000"/>
    <n v="220000"/>
    <n v="0"/>
    <s v="Cancelled"/>
    <s v="Deepa Iyer"/>
    <s v="Net Banking"/>
    <n v="3"/>
    <n v="57.89"/>
    <n v="95000"/>
    <s v="West"/>
    <s v="February"/>
    <n v="2"/>
    <x v="9"/>
  </r>
  <r>
    <s v="ORD1128"/>
    <d v="2024-01-26T00:00:00"/>
    <s v="C008"/>
    <s v="ERP Implementation"/>
    <s v="Software License"/>
    <n v="5"/>
    <n v="1100000"/>
    <n v="450000"/>
    <n v="650000"/>
    <n v="0"/>
    <s v="Completed"/>
    <s v="Arjun Mehta"/>
    <s v="Credit Card"/>
    <n v="6"/>
    <n v="59.09"/>
    <n v="220000"/>
    <s v="North"/>
    <s v="January"/>
    <n v="1"/>
    <x v="8"/>
  </r>
  <r>
    <s v="ORD1129"/>
    <d v="2024-04-29T00:00:00"/>
    <s v="C005"/>
    <s v="API Integration Service"/>
    <s v="Development"/>
    <n v="1"/>
    <n v="83600"/>
    <n v="38000"/>
    <n v="45600"/>
    <n v="5"/>
    <s v="Completed"/>
    <s v="Amit Verma"/>
    <s v="Net Banking"/>
    <n v="12"/>
    <n v="54.55"/>
    <n v="83600"/>
    <s v="West"/>
    <s v="April"/>
    <n v="4"/>
    <x v="11"/>
  </r>
  <r>
    <s v="ORD1130"/>
    <d v="2024-09-30T00:00:00"/>
    <s v="C005"/>
    <s v="Cloud Infrastructure Setup"/>
    <s v="Cloud Services"/>
    <n v="3"/>
    <n v="432000"/>
    <n v="240000"/>
    <n v="192000"/>
    <n v="20"/>
    <s v="Completed"/>
    <s v="Pooja Singh"/>
    <s v="Cheque"/>
    <n v="3"/>
    <n v="44.44"/>
    <n v="144000"/>
    <s v="West"/>
    <s v="September"/>
    <n v="9"/>
    <x v="11"/>
  </r>
  <r>
    <s v="ORD1131"/>
    <d v="2024-10-13T00:00:00"/>
    <s v="C024"/>
    <s v="RPA Implementation"/>
    <s v="AI &amp; Automation"/>
    <n v="5"/>
    <n v="800000"/>
    <n v="350000"/>
    <n v="450000"/>
    <n v="0"/>
    <s v="Cancelled"/>
    <s v="Priya Nair"/>
    <s v="UPI"/>
    <n v="24"/>
    <n v="56.25"/>
    <n v="160000"/>
    <s v="North"/>
    <s v="October"/>
    <n v="10"/>
    <x v="4"/>
  </r>
  <r>
    <s v="ORD1132"/>
    <d v="2024-07-04T00:00:00"/>
    <s v="C004"/>
    <s v="IT Support &amp; Maintenance"/>
    <s v="IT Support"/>
    <n v="5"/>
    <n v="175000"/>
    <n v="75000"/>
    <n v="100000"/>
    <n v="0"/>
    <s v="In Progress"/>
    <s v="Rohit Sharma"/>
    <s v="Net Banking"/>
    <n v="12"/>
    <n v="57.14"/>
    <n v="35000"/>
    <s v="North"/>
    <s v="July"/>
    <n v="7"/>
    <x v="26"/>
  </r>
  <r>
    <s v="ORD1133"/>
    <d v="2024-08-22T00:00:00"/>
    <s v="C001"/>
    <s v="Cloud Migration Service"/>
    <s v="Cloud Services"/>
    <n v="4"/>
    <n v="448000"/>
    <n v="240000"/>
    <n v="208000"/>
    <n v="20"/>
    <s v="Completed"/>
    <s v="Nikhil Gupta"/>
    <s v="Bank Transfer"/>
    <n v="24"/>
    <n v="46.43"/>
    <n v="112000"/>
    <s v="South"/>
    <s v="August"/>
    <n v="8"/>
    <x v="1"/>
  </r>
  <r>
    <s v="ORD1134"/>
    <d v="2024-12-30T00:00:00"/>
    <s v="C003"/>
    <s v="AWS Management Package"/>
    <s v="Cloud Services"/>
    <n v="3"/>
    <n v="324000"/>
    <n v="150000"/>
    <n v="174000"/>
    <n v="10"/>
    <s v="Completed"/>
    <s v="Priya Nair"/>
    <s v="Credit Card"/>
    <n v="12"/>
    <n v="53.7"/>
    <n v="108000"/>
    <s v="South"/>
    <s v="December"/>
    <n v="12"/>
    <x v="7"/>
  </r>
  <r>
    <s v="ORD1135"/>
    <d v="2024-11-15T00:00:00"/>
    <s v="C018"/>
    <s v="Business Intelligence Report"/>
    <s v="Analytics"/>
    <n v="4"/>
    <n v="234000"/>
    <n v="112000"/>
    <n v="122000"/>
    <n v="10"/>
    <s v="In Progress"/>
    <s v="Sandeep Rao"/>
    <s v="UPI"/>
    <n v="24"/>
    <n v="52.14"/>
    <n v="58500"/>
    <s v="South"/>
    <s v="November"/>
    <n v="11"/>
    <x v="12"/>
  </r>
  <r>
    <s v="ORD1136"/>
    <d v="2024-02-20T00:00:00"/>
    <s v="C004"/>
    <s v="Mobile App Development"/>
    <s v="Development"/>
    <n v="2"/>
    <n v="380000"/>
    <n v="170000"/>
    <n v="210000"/>
    <n v="5"/>
    <s v="Completed"/>
    <s v="Deepa Iyer"/>
    <s v="UPI"/>
    <n v="12"/>
    <n v="55.26"/>
    <n v="190000"/>
    <s v="North"/>
    <s v="February"/>
    <n v="2"/>
    <x v="26"/>
  </r>
  <r>
    <s v="ORD1137"/>
    <d v="2024-08-20T00:00:00"/>
    <s v="C024"/>
    <s v="Enterprise CRM Software"/>
    <s v="Software License"/>
    <n v="3"/>
    <n v="270750"/>
    <n v="120000"/>
    <n v="150750"/>
    <n v="5"/>
    <s v="Completed"/>
    <s v="Sandeep Rao"/>
    <s v="Cheque"/>
    <n v="6"/>
    <n v="55.68"/>
    <n v="90250"/>
    <s v="North"/>
    <s v="August"/>
    <n v="8"/>
    <x v="4"/>
  </r>
  <r>
    <s v="ORD1138"/>
    <d v="2024-12-17T00:00:00"/>
    <s v="C003"/>
    <s v="AWS Management Package"/>
    <s v="Cloud Services"/>
    <n v="1"/>
    <n v="120000"/>
    <n v="50000"/>
    <n v="70000"/>
    <n v="0"/>
    <s v="Completed"/>
    <s v="Priya Nair"/>
    <s v="Cheque"/>
    <n v="6"/>
    <n v="58.33"/>
    <n v="120000"/>
    <s v="South"/>
    <s v="December"/>
    <n v="12"/>
    <x v="7"/>
  </r>
  <r>
    <s v="ORD1139"/>
    <d v="2024-12-07T00:00:00"/>
    <s v="C018"/>
    <s v="Business Intelligence Report"/>
    <s v="Analytics"/>
    <n v="1"/>
    <n v="61750"/>
    <n v="28000"/>
    <n v="33750"/>
    <n v="5"/>
    <s v="Completed"/>
    <s v="Nikhil Gupta"/>
    <s v="Bank Transfer"/>
    <n v="12"/>
    <n v="54.66"/>
    <n v="61750"/>
    <s v="South"/>
    <s v="December"/>
    <n v="12"/>
    <x v="12"/>
  </r>
  <r>
    <s v="ORD1140"/>
    <d v="2024-11-03T00:00:00"/>
    <s v="C004"/>
    <s v="Web Portal Development"/>
    <s v="Development"/>
    <n v="5"/>
    <n v="725000"/>
    <n v="300000"/>
    <n v="425000"/>
    <n v="0"/>
    <s v="Completed"/>
    <s v="Sunita Pillai"/>
    <s v="Credit Card"/>
    <n v="3"/>
    <n v="58.62"/>
    <n v="145000"/>
    <s v="North"/>
    <s v="November"/>
    <n v="11"/>
    <x v="26"/>
  </r>
  <r>
    <s v="ORD1141"/>
    <d v="2024-06-28T00:00:00"/>
    <s v="C012"/>
    <s v="Enterprise CRM Software"/>
    <s v="Software License"/>
    <n v="3"/>
    <n v="256500"/>
    <n v="120000"/>
    <n v="136500"/>
    <n v="10"/>
    <s v="Completed"/>
    <s v="Nikhil Gupta"/>
    <s v="Net Banking"/>
    <n v="3"/>
    <n v="53.22"/>
    <n v="85500"/>
    <s v="North"/>
    <s v="June"/>
    <n v="6"/>
    <x v="18"/>
  </r>
  <r>
    <s v="ORD1142"/>
    <d v="2024-11-07T00:00:00"/>
    <s v="C027"/>
    <s v="Firewall &amp; Network Security"/>
    <s v="Security Services"/>
    <n v="1"/>
    <n v="50000"/>
    <n v="20000"/>
    <n v="30000"/>
    <n v="0"/>
    <s v="Completed"/>
    <s v="Sandeep Rao"/>
    <s v="Cheque"/>
    <n v="12"/>
    <n v="60"/>
    <n v="50000"/>
    <s v="North"/>
    <s v="November"/>
    <n v="11"/>
    <x v="24"/>
  </r>
  <r>
    <s v="ORD1143"/>
    <d v="2024-10-15T00:00:00"/>
    <s v="C019"/>
    <s v="Chatbot Development"/>
    <s v="AI &amp; Automation"/>
    <n v="1"/>
    <n v="130000"/>
    <n v="55000"/>
    <n v="75000"/>
    <n v="0"/>
    <s v="Cancelled"/>
    <s v="Rohit Sharma"/>
    <s v="Bank Transfer"/>
    <n v="6"/>
    <n v="57.69"/>
    <n v="130000"/>
    <s v="North"/>
    <s v="October"/>
    <n v="10"/>
    <x v="16"/>
  </r>
  <r>
    <s v="ORD1144"/>
    <d v="2024-07-11T00:00:00"/>
    <s v="C011"/>
    <s v="HR Management System"/>
    <s v="Software License"/>
    <n v="3"/>
    <n v="228000"/>
    <n v="105000"/>
    <n v="123000"/>
    <n v="5"/>
    <s v="Cancelled"/>
    <s v="Kavita Joshi"/>
    <s v="Net Banking"/>
    <n v="3"/>
    <n v="53.95"/>
    <n v="76000"/>
    <s v="South"/>
    <s v="July"/>
    <n v="7"/>
    <x v="15"/>
  </r>
  <r>
    <s v="ORD1145"/>
    <d v="2024-12-15T00:00:00"/>
    <s v="C002"/>
    <s v="AWS Management Package"/>
    <s v="Cloud Services"/>
    <n v="3"/>
    <n v="342000"/>
    <n v="150000"/>
    <n v="192000"/>
    <n v="5"/>
    <s v="Cancelled"/>
    <s v="Nikhil Gupta"/>
    <s v="UPI"/>
    <n v="24"/>
    <n v="56.14"/>
    <n v="114000"/>
    <s v="West"/>
    <s v="December"/>
    <n v="12"/>
    <x v="14"/>
  </r>
  <r>
    <s v="ORD1146"/>
    <d v="2024-12-01T00:00:00"/>
    <s v="C004"/>
    <s v="AI/ML Model Development"/>
    <s v="AI &amp; Automation"/>
    <n v="4"/>
    <n v="1120000"/>
    <n v="480000"/>
    <n v="640000"/>
    <n v="0"/>
    <s v="Completed"/>
    <s v="Pooja Singh"/>
    <s v="UPI"/>
    <n v="12"/>
    <n v="57.14"/>
    <n v="280000"/>
    <s v="North"/>
    <s v="December"/>
    <n v="12"/>
    <x v="26"/>
  </r>
  <r>
    <s v="ORD1147"/>
    <d v="2024-12-12T00:00:00"/>
    <s v="C002"/>
    <s v="Cloud Infrastructure Setup"/>
    <s v="Cloud Services"/>
    <n v="2"/>
    <n v="342000"/>
    <n v="160000"/>
    <n v="182000"/>
    <n v="5"/>
    <s v="Completed"/>
    <s v="Amit Verma"/>
    <s v="Cheque"/>
    <n v="12"/>
    <n v="53.22"/>
    <n v="171000"/>
    <s v="West"/>
    <s v="December"/>
    <n v="12"/>
    <x v="14"/>
  </r>
  <r>
    <s v="ORD1148"/>
    <d v="2024-11-29T00:00:00"/>
    <s v="C024"/>
    <s v="RPA Implementation"/>
    <s v="AI &amp; Automation"/>
    <n v="2"/>
    <n v="320000"/>
    <n v="140000"/>
    <n v="180000"/>
    <n v="0"/>
    <s v="Completed"/>
    <s v="Arjun Mehta"/>
    <s v="Credit Card"/>
    <n v="12"/>
    <n v="56.25"/>
    <n v="160000"/>
    <s v="North"/>
    <s v="November"/>
    <n v="11"/>
    <x v="4"/>
  </r>
  <r>
    <s v="ORD1149"/>
    <d v="2024-02-06T00:00:00"/>
    <s v="C024"/>
    <s v="Cloud Migration Service"/>
    <s v="Cloud Services"/>
    <n v="4"/>
    <n v="560000"/>
    <n v="240000"/>
    <n v="320000"/>
    <n v="0"/>
    <s v="Completed"/>
    <s v="Priya Nair"/>
    <s v="Cheque"/>
    <n v="24"/>
    <n v="57.14"/>
    <n v="140000"/>
    <s v="North"/>
    <s v="February"/>
    <n v="2"/>
    <x v="4"/>
  </r>
  <r>
    <s v="ORD1150"/>
    <d v="2024-10-20T00:00:00"/>
    <s v="C021"/>
    <s v="RPA Implementation"/>
    <s v="AI &amp; Automation"/>
    <n v="3"/>
    <n v="480000"/>
    <n v="210000"/>
    <n v="270000"/>
    <n v="0"/>
    <s v="Completed"/>
    <s v="Rohit Sharma"/>
    <s v="Cheque"/>
    <n v="6"/>
    <n v="56.25"/>
    <n v="160000"/>
    <s v="West"/>
    <s v="October"/>
    <n v="10"/>
    <x v="27"/>
  </r>
  <r>
    <s v="ORD1151"/>
    <d v="2024-11-12T00:00:00"/>
    <s v="C023"/>
    <s v="AI/ML Model Development"/>
    <s v="AI &amp; Automation"/>
    <n v="1"/>
    <n v="266000"/>
    <n v="120000"/>
    <n v="146000"/>
    <n v="5"/>
    <s v="Completed"/>
    <s v="Deepa Iyer"/>
    <s v="UPI"/>
    <n v="24"/>
    <n v="54.89"/>
    <n v="266000"/>
    <s v="South"/>
    <s v="November"/>
    <n v="11"/>
    <x v="28"/>
  </r>
  <r>
    <s v="ORD1152"/>
    <d v="2024-11-05T00:00:00"/>
    <s v="C024"/>
    <s v="Business Intelligence Report"/>
    <s v="Analytics"/>
    <n v="2"/>
    <n v="123500"/>
    <n v="56000"/>
    <n v="67500"/>
    <n v="5"/>
    <s v="Completed"/>
    <s v="Priya Nair"/>
    <s v="Net Banking"/>
    <n v="3"/>
    <n v="54.66"/>
    <n v="61750"/>
    <s v="North"/>
    <s v="November"/>
    <n v="11"/>
    <x v="4"/>
  </r>
  <r>
    <s v="ORD1153"/>
    <d v="2024-09-28T00:00:00"/>
    <s v="C029"/>
    <s v="AI/ML Model Development"/>
    <s v="AI &amp; Automation"/>
    <n v="3"/>
    <n v="714000"/>
    <n v="360000"/>
    <n v="354000"/>
    <n v="15"/>
    <s v="Cancelled"/>
    <s v="Amit Verma"/>
    <s v="Credit Card"/>
    <n v="3"/>
    <n v="49.58"/>
    <n v="238000"/>
    <s v="South"/>
    <s v="September"/>
    <n v="9"/>
    <x v="13"/>
  </r>
  <r>
    <s v="ORD1154"/>
    <d v="2024-10-19T00:00:00"/>
    <s v="C020"/>
    <s v="ERP Implementation"/>
    <s v="Software License"/>
    <n v="1"/>
    <n v="220000"/>
    <n v="90000"/>
    <n v="130000"/>
    <n v="0"/>
    <s v="Cancelled"/>
    <s v="Sunita Pillai"/>
    <s v="UPI"/>
    <n v="24"/>
    <n v="59.09"/>
    <n v="220000"/>
    <s v="North"/>
    <s v="October"/>
    <n v="10"/>
    <x v="21"/>
  </r>
  <r>
    <s v="ORD1155"/>
    <d v="2024-12-14T00:00:00"/>
    <s v="C019"/>
    <s v="API Integration Service"/>
    <s v="Development"/>
    <n v="3"/>
    <n v="211200"/>
    <n v="114000"/>
    <n v="97200"/>
    <n v="20"/>
    <s v="Cancelled"/>
    <s v="Kavita Joshi"/>
    <s v="Credit Card"/>
    <n v="24"/>
    <n v="46.02"/>
    <n v="70400"/>
    <s v="North"/>
    <s v="December"/>
    <n v="12"/>
    <x v="16"/>
  </r>
  <r>
    <s v="ORD1156"/>
    <d v="2024-02-04T00:00:00"/>
    <s v="C021"/>
    <s v="Data Analytics Dashboard"/>
    <s v="Analytics"/>
    <n v="3"/>
    <n v="270000"/>
    <n v="135000"/>
    <n v="135000"/>
    <n v="10"/>
    <s v="Completed"/>
    <s v="Kavita Joshi"/>
    <s v="Net Banking"/>
    <n v="3"/>
    <n v="50"/>
    <n v="90000"/>
    <s v="West"/>
    <s v="February"/>
    <n v="2"/>
    <x v="27"/>
  </r>
  <r>
    <s v="ORD1157"/>
    <d v="2024-06-07T00:00:00"/>
    <s v="C002"/>
    <s v="Cloud Migration Service"/>
    <s v="Cloud Services"/>
    <n v="3"/>
    <n v="336000"/>
    <n v="180000"/>
    <n v="156000"/>
    <n v="20"/>
    <s v="Completed"/>
    <s v="Priya Nair"/>
    <s v="Bank Transfer"/>
    <n v="24"/>
    <n v="46.43"/>
    <n v="112000"/>
    <s v="West"/>
    <s v="June"/>
    <n v="6"/>
    <x v="14"/>
  </r>
  <r>
    <s v="ORD1158"/>
    <d v="2024-08-24T00:00:00"/>
    <s v="C026"/>
    <s v="Cloud Migration Service"/>
    <s v="Cloud Services"/>
    <n v="4"/>
    <n v="448000"/>
    <n v="240000"/>
    <n v="208000"/>
    <n v="20"/>
    <s v="In Progress"/>
    <s v="Deepa Iyer"/>
    <s v="Cheque"/>
    <n v="24"/>
    <n v="46.43"/>
    <n v="112000"/>
    <s v="North"/>
    <s v="August"/>
    <n v="8"/>
    <x v="17"/>
  </r>
  <r>
    <s v="ORD1159"/>
    <d v="2024-10-04T00:00:00"/>
    <s v="C015"/>
    <s v="Enterprise CRM Software"/>
    <s v="Software License"/>
    <n v="3"/>
    <n v="242250"/>
    <n v="120000"/>
    <n v="122250"/>
    <n v="15"/>
    <s v="Completed"/>
    <s v="Arjun Mehta"/>
    <s v="Credit Card"/>
    <n v="3"/>
    <n v="50.46"/>
    <n v="80750"/>
    <s v="West"/>
    <s v="October"/>
    <n v="10"/>
    <x v="10"/>
  </r>
  <r>
    <s v="ORD1160"/>
    <d v="2024-05-06T00:00:00"/>
    <s v="C015"/>
    <s v="Network Setup &amp; Config"/>
    <s v="IT Support"/>
    <n v="5"/>
    <n v="234000"/>
    <n v="110000"/>
    <n v="124000"/>
    <n v="10"/>
    <s v="Completed"/>
    <s v="Kavita Joshi"/>
    <s v="Cheque"/>
    <n v="12"/>
    <n v="52.99"/>
    <n v="46800"/>
    <s v="West"/>
    <s v="May"/>
    <n v="5"/>
    <x v="10"/>
  </r>
  <r>
    <s v="ORD1161"/>
    <d v="2024-07-17T00:00:00"/>
    <s v="C011"/>
    <s v="API Integration Service"/>
    <s v="Development"/>
    <n v="1"/>
    <n v="70400"/>
    <n v="38000"/>
    <n v="32400"/>
    <n v="20"/>
    <s v="Cancelled"/>
    <s v="Kavita Joshi"/>
    <s v="Bank Transfer"/>
    <n v="12"/>
    <n v="46.02"/>
    <n v="70400"/>
    <s v="South"/>
    <s v="July"/>
    <n v="7"/>
    <x v="15"/>
  </r>
  <r>
    <s v="ORD1162"/>
    <d v="2024-02-18T00:00:00"/>
    <s v="C013"/>
    <s v="Data Analytics Dashboard"/>
    <s v="Analytics"/>
    <n v="3"/>
    <n v="255000"/>
    <n v="135000"/>
    <n v="120000"/>
    <n v="15"/>
    <s v="Cancelled"/>
    <s v="Pooja Singh"/>
    <s v="Credit Card"/>
    <n v="12"/>
    <n v="47.06"/>
    <n v="85000"/>
    <s v="North"/>
    <s v="February"/>
    <n v="2"/>
    <x v="25"/>
  </r>
  <r>
    <s v="ORD1163"/>
    <d v="2024-02-11T00:00:00"/>
    <s v="C005"/>
    <s v="AI/ML Model Development"/>
    <s v="AI &amp; Automation"/>
    <n v="3"/>
    <n v="714000"/>
    <n v="360000"/>
    <n v="354000"/>
    <n v="15"/>
    <s v="Cancelled"/>
    <s v="Nikhil Gupta"/>
    <s v="Credit Card"/>
    <n v="3"/>
    <n v="49.58"/>
    <n v="238000"/>
    <s v="West"/>
    <s v="February"/>
    <n v="2"/>
    <x v="11"/>
  </r>
  <r>
    <s v="ORD1164"/>
    <d v="2024-06-07T00:00:00"/>
    <s v="C021"/>
    <s v="Business Intelligence Report"/>
    <s v="Analytics"/>
    <n v="2"/>
    <n v="110500"/>
    <n v="56000"/>
    <n v="54500"/>
    <n v="15"/>
    <s v="Cancelled"/>
    <s v="Arjun Mehta"/>
    <s v="Bank Transfer"/>
    <n v="24"/>
    <n v="49.32"/>
    <n v="55250"/>
    <s v="West"/>
    <s v="June"/>
    <n v="6"/>
    <x v="27"/>
  </r>
  <r>
    <s v="ORD1165"/>
    <d v="2024-09-17T00:00:00"/>
    <s v="C012"/>
    <s v="Data Analytics Dashboard"/>
    <s v="Analytics"/>
    <n v="2"/>
    <n v="200000"/>
    <n v="90000"/>
    <n v="110000"/>
    <n v="0"/>
    <s v="Completed"/>
    <s v="Sunita Pillai"/>
    <s v="Credit Card"/>
    <n v="6"/>
    <n v="55"/>
    <n v="100000"/>
    <s v="North"/>
    <s v="September"/>
    <n v="9"/>
    <x v="18"/>
  </r>
  <r>
    <s v="ORD1166"/>
    <d v="2024-11-03T00:00:00"/>
    <s v="C028"/>
    <s v="Enterprise CRM Software"/>
    <s v="Software License"/>
    <n v="5"/>
    <n v="380000"/>
    <n v="200000"/>
    <n v="180000"/>
    <n v="20"/>
    <s v="In Progress"/>
    <s v="Arjun Mehta"/>
    <s v="Bank Transfer"/>
    <n v="12"/>
    <n v="47.37"/>
    <n v="76000"/>
    <s v="South"/>
    <s v="November"/>
    <n v="11"/>
    <x v="5"/>
  </r>
  <r>
    <s v="ORD1167"/>
    <d v="2024-11-14T00:00:00"/>
    <s v="C005"/>
    <s v="HR Management System"/>
    <s v="Software License"/>
    <n v="2"/>
    <n v="128000"/>
    <n v="70000"/>
    <n v="58000"/>
    <n v="20"/>
    <s v="Cancelled"/>
    <s v="Pooja Singh"/>
    <s v="Credit Card"/>
    <n v="24"/>
    <n v="45.31"/>
    <n v="64000"/>
    <s v="West"/>
    <s v="November"/>
    <n v="11"/>
    <x v="11"/>
  </r>
  <r>
    <s v="ORD1168"/>
    <d v="2024-01-23T00:00:00"/>
    <s v="C022"/>
    <s v="Penetration Testing"/>
    <s v="Security Services"/>
    <n v="4"/>
    <n v="252000"/>
    <n v="120000"/>
    <n v="132000"/>
    <n v="10"/>
    <s v="Completed"/>
    <s v="Sunita Pillai"/>
    <s v="Credit Card"/>
    <n v="6"/>
    <n v="52.38"/>
    <n v="63000"/>
    <s v="South"/>
    <s v="January"/>
    <n v="1"/>
    <x v="6"/>
  </r>
  <r>
    <s v="ORD1169"/>
    <d v="2024-06-07T00:00:00"/>
    <s v="C026"/>
    <s v="Annual AMC Contract"/>
    <s v="IT Support"/>
    <n v="2"/>
    <n v="79800"/>
    <n v="36000"/>
    <n v="43800"/>
    <n v="5"/>
    <s v="Cancelled"/>
    <s v="Pooja Singh"/>
    <s v="UPI"/>
    <n v="24"/>
    <n v="54.89"/>
    <n v="39900"/>
    <s v="North"/>
    <s v="June"/>
    <n v="6"/>
    <x v="17"/>
  </r>
  <r>
    <s v="ORD1170"/>
    <d v="2024-05-24T00:00:00"/>
    <s v="C017"/>
    <s v="Network Setup &amp; Config"/>
    <s v="IT Support"/>
    <n v="4"/>
    <n v="208000"/>
    <n v="88000"/>
    <n v="120000"/>
    <n v="0"/>
    <s v="Completed"/>
    <s v="Pooja Singh"/>
    <s v="Credit Card"/>
    <n v="12"/>
    <n v="57.69"/>
    <n v="52000"/>
    <s v="South"/>
    <s v="May"/>
    <n v="5"/>
    <x v="20"/>
  </r>
  <r>
    <s v="ORD1171"/>
    <d v="2024-01-27T00:00:00"/>
    <s v="C028"/>
    <s v="AI/ML Model Development"/>
    <s v="AI &amp; Automation"/>
    <n v="5"/>
    <n v="1400000"/>
    <n v="600000"/>
    <n v="800000"/>
    <n v="0"/>
    <s v="Cancelled"/>
    <s v="Arjun Mehta"/>
    <s v="Bank Transfer"/>
    <n v="12"/>
    <n v="57.14"/>
    <n v="280000"/>
    <s v="South"/>
    <s v="January"/>
    <n v="1"/>
    <x v="5"/>
  </r>
  <r>
    <s v="ORD1172"/>
    <d v="2024-02-12T00:00:00"/>
    <s v="C009"/>
    <s v="IT Support &amp; Maintenance"/>
    <s v="IT Support"/>
    <n v="5"/>
    <n v="175000"/>
    <n v="75000"/>
    <n v="100000"/>
    <n v="0"/>
    <s v="Completed"/>
    <s v="Priya Nair"/>
    <s v="Credit Card"/>
    <n v="24"/>
    <n v="57.14"/>
    <n v="35000"/>
    <s v="South"/>
    <s v="February"/>
    <n v="2"/>
    <x v="0"/>
  </r>
  <r>
    <s v="ORD1173"/>
    <d v="2024-06-27T00:00:00"/>
    <s v="C014"/>
    <s v="Cloud Migration Service"/>
    <s v="Cloud Services"/>
    <n v="4"/>
    <n v="504000"/>
    <n v="240000"/>
    <n v="264000"/>
    <n v="10"/>
    <s v="Completed"/>
    <s v="Deepa Iyer"/>
    <s v="UPI"/>
    <n v="3"/>
    <n v="52.38"/>
    <n v="126000"/>
    <s v="South"/>
    <s v="June"/>
    <n v="6"/>
    <x v="2"/>
  </r>
  <r>
    <s v="ORD1174"/>
    <d v="2024-11-06T00:00:00"/>
    <s v="C030"/>
    <s v="Enterprise CRM Software"/>
    <s v="Software License"/>
    <n v="3"/>
    <n v="228000"/>
    <n v="120000"/>
    <n v="108000"/>
    <n v="20"/>
    <s v="Completed"/>
    <s v="Amit Verma"/>
    <s v="Bank Transfer"/>
    <n v="12"/>
    <n v="47.37"/>
    <n v="76000"/>
    <s v="North"/>
    <s v="November"/>
    <n v="11"/>
    <x v="23"/>
  </r>
  <r>
    <s v="ORD1175"/>
    <d v="2024-08-29T00:00:00"/>
    <s v="C005"/>
    <s v="Annual AMC Contract"/>
    <s v="IT Support"/>
    <n v="4"/>
    <n v="151200"/>
    <n v="72000"/>
    <n v="79200"/>
    <n v="10"/>
    <s v="Completed"/>
    <s v="Priya Nair"/>
    <s v="Bank Transfer"/>
    <n v="12"/>
    <n v="52.38"/>
    <n v="37800"/>
    <s v="West"/>
    <s v="August"/>
    <n v="8"/>
    <x v="11"/>
  </r>
  <r>
    <s v="ORD1176"/>
    <d v="2024-04-20T00:00:00"/>
    <s v="C018"/>
    <s v="API Integration Service"/>
    <s v="Development"/>
    <n v="5"/>
    <n v="418000"/>
    <n v="190000"/>
    <n v="228000"/>
    <n v="5"/>
    <s v="Completed"/>
    <s v="Sandeep Rao"/>
    <s v="Credit Card"/>
    <n v="12"/>
    <n v="54.55"/>
    <n v="83600"/>
    <s v="South"/>
    <s v="April"/>
    <n v="4"/>
    <x v="12"/>
  </r>
  <r>
    <s v="ORD1177"/>
    <d v="2024-11-19T00:00:00"/>
    <s v="C021"/>
    <s v="API Integration Service"/>
    <s v="Development"/>
    <n v="4"/>
    <n v="352000"/>
    <n v="152000"/>
    <n v="200000"/>
    <n v="0"/>
    <s v="Completed"/>
    <s v="Sunita Pillai"/>
    <s v="Net Banking"/>
    <n v="3"/>
    <n v="56.82"/>
    <n v="88000"/>
    <s v="West"/>
    <s v="November"/>
    <n v="11"/>
    <x v="27"/>
  </r>
  <r>
    <s v="ORD1178"/>
    <d v="2024-11-19T00:00:00"/>
    <s v="C008"/>
    <s v="ERP Implementation"/>
    <s v="Software License"/>
    <n v="3"/>
    <n v="627000"/>
    <n v="270000"/>
    <n v="357000"/>
    <n v="5"/>
    <s v="Completed"/>
    <s v="Pooja Singh"/>
    <s v="Cheque"/>
    <n v="6"/>
    <n v="56.94"/>
    <n v="209000"/>
    <s v="North"/>
    <s v="November"/>
    <n v="11"/>
    <x v="8"/>
  </r>
  <r>
    <s v="ORD1179"/>
    <d v="2024-10-19T00:00:00"/>
    <s v="C022"/>
    <s v="AWS Management Package"/>
    <s v="Cloud Services"/>
    <n v="5"/>
    <n v="570000"/>
    <n v="250000"/>
    <n v="320000"/>
    <n v="5"/>
    <s v="Completed"/>
    <s v="Arjun Mehta"/>
    <s v="Net Banking"/>
    <n v="3"/>
    <n v="56.14"/>
    <n v="114000"/>
    <s v="South"/>
    <s v="October"/>
    <n v="10"/>
    <x v="6"/>
  </r>
  <r>
    <s v="ORD1180"/>
    <d v="2024-07-18T00:00:00"/>
    <s v="C002"/>
    <s v="Chatbot Development"/>
    <s v="AI &amp; Automation"/>
    <n v="3"/>
    <n v="370500"/>
    <n v="165000"/>
    <n v="205500"/>
    <n v="5"/>
    <s v="Cancelled"/>
    <s v="Rohit Sharma"/>
    <s v="Cheque"/>
    <n v="3"/>
    <n v="55.47"/>
    <n v="123500"/>
    <s v="West"/>
    <s v="July"/>
    <n v="7"/>
    <x v="14"/>
  </r>
  <r>
    <s v="ORD1181"/>
    <d v="2024-12-20T00:00:00"/>
    <s v="C021"/>
    <s v="Enterprise CRM Software"/>
    <s v="Software License"/>
    <n v="5"/>
    <n v="403750"/>
    <n v="200000"/>
    <n v="203750"/>
    <n v="15"/>
    <s v="Completed"/>
    <s v="Amit Verma"/>
    <s v="Bank Transfer"/>
    <n v="12"/>
    <n v="50.46"/>
    <n v="80750"/>
    <s v="West"/>
    <s v="December"/>
    <n v="12"/>
    <x v="27"/>
  </r>
  <r>
    <s v="ORD1182"/>
    <d v="2024-10-06T00:00:00"/>
    <s v="C021"/>
    <s v="HR Management System"/>
    <s v="Software License"/>
    <n v="4"/>
    <n v="272000"/>
    <n v="140000"/>
    <n v="132000"/>
    <n v="15"/>
    <s v="Completed"/>
    <s v="Amit Verma"/>
    <s v="Credit Card"/>
    <n v="3"/>
    <n v="48.53"/>
    <n v="68000"/>
    <s v="West"/>
    <s v="October"/>
    <n v="10"/>
    <x v="27"/>
  </r>
  <r>
    <s v="ORD1183"/>
    <d v="2024-10-22T00:00:00"/>
    <s v="C002"/>
    <s v="Cybersecurity Audit"/>
    <s v="Security Services"/>
    <n v="1"/>
    <n v="57000"/>
    <n v="25000"/>
    <n v="32000"/>
    <n v="5"/>
    <s v="Completed"/>
    <s v="Arjun Mehta"/>
    <s v="UPI"/>
    <n v="24"/>
    <n v="56.14"/>
    <n v="57000"/>
    <s v="West"/>
    <s v="October"/>
    <n v="10"/>
    <x v="14"/>
  </r>
  <r>
    <s v="ORD1184"/>
    <d v="2024-12-18T00:00:00"/>
    <s v="C007"/>
    <s v="Data Analytics Dashboard"/>
    <s v="Analytics"/>
    <n v="3"/>
    <n v="240000"/>
    <n v="135000"/>
    <n v="105000"/>
    <n v="20"/>
    <s v="Completed"/>
    <s v="Kavita Joshi"/>
    <s v="Cheque"/>
    <n v="3"/>
    <n v="43.75"/>
    <n v="80000"/>
    <s v="West"/>
    <s v="December"/>
    <n v="12"/>
    <x v="9"/>
  </r>
  <r>
    <s v="ORD1185"/>
    <d v="2024-07-07T00:00:00"/>
    <s v="C013"/>
    <s v="IT Support &amp; Maintenance"/>
    <s v="IT Support"/>
    <n v="4"/>
    <n v="133000"/>
    <n v="60000"/>
    <n v="73000"/>
    <n v="5"/>
    <s v="Completed"/>
    <s v="Sunita Pillai"/>
    <s v="UPI"/>
    <n v="12"/>
    <n v="54.89"/>
    <n v="33250"/>
    <s v="North"/>
    <s v="July"/>
    <n v="7"/>
    <x v="25"/>
  </r>
  <r>
    <s v="ORD1186"/>
    <d v="2024-10-07T00:00:00"/>
    <s v="C024"/>
    <s v="RPA Implementation"/>
    <s v="AI &amp; Automation"/>
    <n v="1"/>
    <n v="152000"/>
    <n v="70000"/>
    <n v="82000"/>
    <n v="5"/>
    <s v="In Progress"/>
    <s v="Amit Verma"/>
    <s v="Net Banking"/>
    <n v="12"/>
    <n v="53.95"/>
    <n v="152000"/>
    <s v="North"/>
    <s v="October"/>
    <n v="10"/>
    <x v="4"/>
  </r>
  <r>
    <s v="ORD1187"/>
    <d v="2024-11-07T00:00:00"/>
    <s v="C022"/>
    <s v="Data Analytics Dashboard"/>
    <s v="Analytics"/>
    <n v="3"/>
    <n v="285000"/>
    <n v="135000"/>
    <n v="150000"/>
    <n v="5"/>
    <s v="In Progress"/>
    <s v="Nikhil Gupta"/>
    <s v="Credit Card"/>
    <n v="24"/>
    <n v="52.63"/>
    <n v="95000"/>
    <s v="South"/>
    <s v="November"/>
    <n v="11"/>
    <x v="6"/>
  </r>
  <r>
    <s v="ORD1188"/>
    <d v="2024-06-28T00:00:00"/>
    <s v="C024"/>
    <s v="AI/ML Model Development"/>
    <s v="AI &amp; Automation"/>
    <n v="5"/>
    <n v="1330000"/>
    <n v="600000"/>
    <n v="730000"/>
    <n v="5"/>
    <s v="Completed"/>
    <s v="Rohit Sharma"/>
    <s v="Bank Transfer"/>
    <n v="24"/>
    <n v="54.89"/>
    <n v="266000"/>
    <s v="North"/>
    <s v="June"/>
    <n v="6"/>
    <x v="4"/>
  </r>
  <r>
    <s v="ORD1189"/>
    <d v="2024-07-05T00:00:00"/>
    <s v="C024"/>
    <s v="HR Management System"/>
    <s v="Software License"/>
    <n v="1"/>
    <n v="80000"/>
    <n v="35000"/>
    <n v="45000"/>
    <n v="0"/>
    <s v="In Progress"/>
    <s v="Sunita Pillai"/>
    <s v="Bank Transfer"/>
    <n v="6"/>
    <n v="56.25"/>
    <n v="80000"/>
    <s v="North"/>
    <s v="July"/>
    <n v="7"/>
    <x v="4"/>
  </r>
  <r>
    <s v="ORD1190"/>
    <d v="2024-12-18T00:00:00"/>
    <s v="C012"/>
    <s v="AI/ML Model Development"/>
    <s v="AI &amp; Automation"/>
    <n v="4"/>
    <n v="1008000"/>
    <n v="480000"/>
    <n v="528000"/>
    <n v="10"/>
    <s v="Completed"/>
    <s v="Pooja Singh"/>
    <s v="Credit Card"/>
    <n v="24"/>
    <n v="52.38"/>
    <n v="252000"/>
    <s v="North"/>
    <s v="December"/>
    <n v="12"/>
    <x v="18"/>
  </r>
  <r>
    <s v="ORD1191"/>
    <d v="2024-07-08T00:00:00"/>
    <s v="C025"/>
    <s v="AWS Management Package"/>
    <s v="Cloud Services"/>
    <n v="5"/>
    <n v="600000"/>
    <n v="250000"/>
    <n v="350000"/>
    <n v="0"/>
    <s v="In Progress"/>
    <s v="Kavita Joshi"/>
    <s v="UPI"/>
    <n v="12"/>
    <n v="58.33"/>
    <n v="120000"/>
    <s v="North"/>
    <s v="July"/>
    <n v="7"/>
    <x v="3"/>
  </r>
  <r>
    <s v="ORD1192"/>
    <d v="2024-10-11T00:00:00"/>
    <s v="C001"/>
    <s v="HR Management System"/>
    <s v="Software License"/>
    <n v="4"/>
    <n v="288000"/>
    <n v="140000"/>
    <n v="148000"/>
    <n v="10"/>
    <s v="Completed"/>
    <s v="Arjun Mehta"/>
    <s v="Bank Transfer"/>
    <n v="12"/>
    <n v="51.39"/>
    <n v="72000"/>
    <s v="South"/>
    <s v="October"/>
    <n v="10"/>
    <x v="1"/>
  </r>
  <r>
    <s v="ORD1193"/>
    <d v="2024-05-13T00:00:00"/>
    <s v="C007"/>
    <s v="API Integration Service"/>
    <s v="Development"/>
    <n v="3"/>
    <n v="224400"/>
    <n v="114000"/>
    <n v="110400"/>
    <n v="15"/>
    <s v="Completed"/>
    <s v="Deepa Iyer"/>
    <s v="Bank Transfer"/>
    <n v="6"/>
    <n v="49.2"/>
    <n v="74800"/>
    <s v="West"/>
    <s v="May"/>
    <n v="5"/>
    <x v="9"/>
  </r>
  <r>
    <s v="ORD1194"/>
    <d v="2024-02-07T00:00:00"/>
    <s v="C029"/>
    <s v="IT Support &amp; Maintenance"/>
    <s v="IT Support"/>
    <n v="1"/>
    <n v="28000"/>
    <n v="15000"/>
    <n v="13000"/>
    <n v="20"/>
    <s v="Cancelled"/>
    <s v="Kavita Joshi"/>
    <s v="Cheque"/>
    <n v="3"/>
    <n v="46.43"/>
    <n v="28000"/>
    <s v="South"/>
    <s v="February"/>
    <n v="2"/>
    <x v="13"/>
  </r>
  <r>
    <s v="ORD1195"/>
    <d v="2024-10-08T00:00:00"/>
    <s v="C029"/>
    <s v="Data Analytics Dashboard"/>
    <s v="Analytics"/>
    <n v="2"/>
    <n v="170000"/>
    <n v="90000"/>
    <n v="80000"/>
    <n v="15"/>
    <s v="Cancelled"/>
    <s v="Amit Verma"/>
    <s v="Cheque"/>
    <n v="6"/>
    <n v="47.06"/>
    <n v="85000"/>
    <s v="South"/>
    <s v="October"/>
    <n v="10"/>
    <x v="13"/>
  </r>
  <r>
    <s v="ORD1196"/>
    <d v="2024-03-03T00:00:00"/>
    <s v="C026"/>
    <s v="ERP Implementation"/>
    <s v="Software License"/>
    <n v="2"/>
    <n v="352000"/>
    <n v="180000"/>
    <n v="172000"/>
    <n v="20"/>
    <s v="Completed"/>
    <s v="Rohit Sharma"/>
    <s v="Cheque"/>
    <n v="12"/>
    <n v="48.86"/>
    <n v="176000"/>
    <s v="North"/>
    <s v="March"/>
    <n v="3"/>
    <x v="17"/>
  </r>
  <r>
    <s v="ORD1197"/>
    <d v="2024-08-27T00:00:00"/>
    <s v="C018"/>
    <s v="ERP Implementation"/>
    <s v="Software License"/>
    <n v="5"/>
    <n v="1100000"/>
    <n v="450000"/>
    <n v="650000"/>
    <n v="0"/>
    <s v="Completed"/>
    <s v="Sandeep Rao"/>
    <s v="UPI"/>
    <n v="24"/>
    <n v="59.09"/>
    <n v="220000"/>
    <s v="South"/>
    <s v="August"/>
    <n v="8"/>
    <x v="12"/>
  </r>
  <r>
    <s v="ORD1198"/>
    <d v="2024-09-26T00:00:00"/>
    <s v="C014"/>
    <s v="Web Portal Development"/>
    <s v="Development"/>
    <n v="1"/>
    <n v="145000"/>
    <n v="60000"/>
    <n v="85000"/>
    <n v="0"/>
    <s v="Completed"/>
    <s v="Priya Nair"/>
    <s v="UPI"/>
    <n v="24"/>
    <n v="58.62"/>
    <n v="145000"/>
    <s v="South"/>
    <s v="September"/>
    <n v="9"/>
    <x v="2"/>
  </r>
  <r>
    <s v="ORD1199"/>
    <d v="2024-12-14T00:00:00"/>
    <s v="C005"/>
    <s v="Mobile App Development"/>
    <s v="Development"/>
    <n v="5"/>
    <n v="1000000"/>
    <n v="425000"/>
    <n v="575000"/>
    <n v="0"/>
    <s v="Completed"/>
    <s v="Nikhil Gupta"/>
    <s v="Net Banking"/>
    <n v="3"/>
    <n v="57.5"/>
    <n v="200000"/>
    <s v="West"/>
    <s v="December"/>
    <n v="12"/>
    <x v="11"/>
  </r>
  <r>
    <s v="ORD1200"/>
    <d v="2024-03-04T00:00:00"/>
    <s v="C010"/>
    <s v="HR Management System"/>
    <s v="Software License"/>
    <n v="2"/>
    <n v="152000"/>
    <n v="70000"/>
    <n v="82000"/>
    <n v="5"/>
    <s v="Cancelled"/>
    <s v="Deepa Iyer"/>
    <s v="Cheque"/>
    <n v="12"/>
    <n v="53.95"/>
    <n v="76000"/>
    <s v="South"/>
    <s v="March"/>
    <n v="3"/>
    <x v="29"/>
  </r>
  <r>
    <s v="ORD1201"/>
    <d v="2024-12-17T00:00:00"/>
    <s v="C018"/>
    <s v="Firewall &amp; Network Security"/>
    <s v="Security Services"/>
    <n v="2"/>
    <n v="85000"/>
    <n v="40000"/>
    <n v="45000"/>
    <n v="15"/>
    <s v="Completed"/>
    <s v="Pooja Singh"/>
    <s v="Net Banking"/>
    <n v="3"/>
    <n v="52.94"/>
    <n v="42500"/>
    <s v="South"/>
    <s v="December"/>
    <n v="12"/>
    <x v="12"/>
  </r>
  <r>
    <s v="ORD1202"/>
    <d v="2024-09-14T00:00:00"/>
    <s v="C019"/>
    <s v="Web Portal Development"/>
    <s v="Development"/>
    <n v="2"/>
    <n v="290000"/>
    <n v="120000"/>
    <n v="170000"/>
    <n v="0"/>
    <s v="Cancelled"/>
    <s v="Pooja Singh"/>
    <s v="Net Banking"/>
    <n v="12"/>
    <n v="58.62"/>
    <n v="145000"/>
    <s v="North"/>
    <s v="September"/>
    <n v="9"/>
    <x v="16"/>
  </r>
  <r>
    <s v="ORD1203"/>
    <d v="2024-09-30T00:00:00"/>
    <s v="C003"/>
    <s v="Cloud Migration Service"/>
    <s v="Cloud Services"/>
    <n v="5"/>
    <n v="665000"/>
    <n v="300000"/>
    <n v="365000"/>
    <n v="5"/>
    <s v="Cancelled"/>
    <s v="Deepa Iyer"/>
    <s v="Net Banking"/>
    <n v="24"/>
    <n v="54.89"/>
    <n v="133000"/>
    <s v="South"/>
    <s v="September"/>
    <n v="9"/>
    <x v="7"/>
  </r>
  <r>
    <s v="ORD1204"/>
    <d v="2024-11-12T00:00:00"/>
    <s v="C016"/>
    <s v="Mobile App Development"/>
    <s v="Development"/>
    <n v="3"/>
    <n v="510000"/>
    <n v="255000"/>
    <n v="255000"/>
    <n v="15"/>
    <s v="Completed"/>
    <s v="Sunita Pillai"/>
    <s v="Credit Card"/>
    <n v="24"/>
    <n v="50"/>
    <n v="170000"/>
    <s v="South"/>
    <s v="November"/>
    <n v="11"/>
    <x v="22"/>
  </r>
  <r>
    <s v="ORD1205"/>
    <d v="2024-06-01T00:00:00"/>
    <s v="C023"/>
    <s v="Cloud Migration Service"/>
    <s v="Cloud Services"/>
    <n v="2"/>
    <n v="266000"/>
    <n v="120000"/>
    <n v="146000"/>
    <n v="5"/>
    <s v="Completed"/>
    <s v="Sunita Pillai"/>
    <s v="UPI"/>
    <n v="6"/>
    <n v="54.89"/>
    <n v="133000"/>
    <s v="South"/>
    <s v="June"/>
    <n v="6"/>
    <x v="28"/>
  </r>
  <r>
    <s v="ORD1206"/>
    <d v="2024-06-23T00:00:00"/>
    <s v="C011"/>
    <s v="Business Intelligence Report"/>
    <s v="Analytics"/>
    <n v="3"/>
    <n v="185250"/>
    <n v="84000"/>
    <n v="101250"/>
    <n v="5"/>
    <s v="Completed"/>
    <s v="Kavita Joshi"/>
    <s v="Net Banking"/>
    <n v="3"/>
    <n v="54.66"/>
    <n v="61750"/>
    <s v="South"/>
    <s v="June"/>
    <n v="6"/>
    <x v="15"/>
  </r>
  <r>
    <s v="ORD1207"/>
    <d v="2024-10-12T00:00:00"/>
    <s v="C009"/>
    <s v="IT Support &amp; Maintenance"/>
    <s v="IT Support"/>
    <n v="2"/>
    <n v="70000"/>
    <n v="30000"/>
    <n v="40000"/>
    <n v="0"/>
    <s v="Completed"/>
    <s v="Rohit Sharma"/>
    <s v="Cheque"/>
    <n v="24"/>
    <n v="57.14"/>
    <n v="35000"/>
    <s v="South"/>
    <s v="October"/>
    <n v="10"/>
    <x v="0"/>
  </r>
  <r>
    <s v="ORD1208"/>
    <d v="2024-11-11T00:00:00"/>
    <s v="C028"/>
    <s v="HR Management System"/>
    <s v="Software License"/>
    <n v="3"/>
    <n v="216000"/>
    <n v="105000"/>
    <n v="111000"/>
    <n v="10"/>
    <s v="Cancelled"/>
    <s v="Kavita Joshi"/>
    <s v="Credit Card"/>
    <n v="6"/>
    <n v="51.39"/>
    <n v="72000"/>
    <s v="South"/>
    <s v="November"/>
    <n v="11"/>
    <x v="5"/>
  </r>
  <r>
    <s v="ORD1209"/>
    <d v="2024-09-12T00:00:00"/>
    <s v="C015"/>
    <s v="Annual AMC Contract"/>
    <s v="IT Support"/>
    <n v="3"/>
    <n v="119700"/>
    <n v="54000"/>
    <n v="65700"/>
    <n v="5"/>
    <s v="Completed"/>
    <s v="Priya Nair"/>
    <s v="UPI"/>
    <n v="24"/>
    <n v="54.89"/>
    <n v="39900"/>
    <s v="West"/>
    <s v="September"/>
    <n v="9"/>
    <x v="10"/>
  </r>
  <r>
    <s v="ORD1210"/>
    <d v="2024-11-11T00:00:00"/>
    <s v="C002"/>
    <s v="Cloud Migration Service"/>
    <s v="Cloud Services"/>
    <n v="3"/>
    <n v="399000"/>
    <n v="180000"/>
    <n v="219000"/>
    <n v="5"/>
    <s v="In Progress"/>
    <s v="Sunita Pillai"/>
    <s v="Cheque"/>
    <n v="3"/>
    <n v="54.89"/>
    <n v="133000"/>
    <s v="West"/>
    <s v="November"/>
    <n v="11"/>
    <x v="14"/>
  </r>
  <r>
    <s v="ORD1211"/>
    <d v="2024-02-25T00:00:00"/>
    <s v="C029"/>
    <s v="Firewall &amp; Network Security"/>
    <s v="Security Services"/>
    <n v="3"/>
    <n v="120000"/>
    <n v="60000"/>
    <n v="60000"/>
    <n v="20"/>
    <s v="Completed"/>
    <s v="Kavita Joshi"/>
    <s v="Bank Transfer"/>
    <n v="24"/>
    <n v="50"/>
    <n v="40000"/>
    <s v="South"/>
    <s v="February"/>
    <n v="2"/>
    <x v="13"/>
  </r>
  <r>
    <s v="ORD1212"/>
    <d v="2024-01-27T00:00:00"/>
    <s v="C007"/>
    <s v="AI/ML Model Development"/>
    <s v="AI &amp; Automation"/>
    <n v="5"/>
    <n v="1330000"/>
    <n v="600000"/>
    <n v="730000"/>
    <n v="5"/>
    <s v="Completed"/>
    <s v="Nikhil Gupta"/>
    <s v="Net Banking"/>
    <n v="24"/>
    <n v="54.89"/>
    <n v="266000"/>
    <s v="West"/>
    <s v="January"/>
    <n v="1"/>
    <x v="9"/>
  </r>
  <r>
    <s v="ORD1213"/>
    <d v="2024-12-15T00:00:00"/>
    <s v="C022"/>
    <s v="API Integration Service"/>
    <s v="Development"/>
    <n v="1"/>
    <n v="88000"/>
    <n v="38000"/>
    <n v="50000"/>
    <n v="0"/>
    <s v="Completed"/>
    <s v="Nikhil Gupta"/>
    <s v="Cheque"/>
    <n v="12"/>
    <n v="56.82"/>
    <n v="88000"/>
    <s v="South"/>
    <s v="December"/>
    <n v="12"/>
    <x v="6"/>
  </r>
  <r>
    <s v="ORD1214"/>
    <d v="2024-10-12T00:00:00"/>
    <s v="C025"/>
    <s v="ERP Implementation"/>
    <s v="Software License"/>
    <n v="2"/>
    <n v="396000"/>
    <n v="180000"/>
    <n v="216000"/>
    <n v="10"/>
    <s v="In Progress"/>
    <s v="Nikhil Gupta"/>
    <s v="Net Banking"/>
    <n v="3"/>
    <n v="54.55"/>
    <n v="198000"/>
    <s v="North"/>
    <s v="October"/>
    <n v="10"/>
    <x v="3"/>
  </r>
  <r>
    <s v="ORD1215"/>
    <d v="2024-12-27T00:00:00"/>
    <s v="C011"/>
    <s v="Annual AMC Contract"/>
    <s v="IT Support"/>
    <n v="5"/>
    <n v="199500"/>
    <n v="90000"/>
    <n v="109500"/>
    <n v="5"/>
    <s v="Completed"/>
    <s v="Pooja Singh"/>
    <s v="Net Banking"/>
    <n v="6"/>
    <n v="54.89"/>
    <n v="39900"/>
    <s v="South"/>
    <s v="December"/>
    <n v="12"/>
    <x v="15"/>
  </r>
  <r>
    <s v="ORD1216"/>
    <d v="2024-06-16T00:00:00"/>
    <s v="C011"/>
    <s v="HR Management System"/>
    <s v="Software License"/>
    <n v="4"/>
    <n v="288000"/>
    <n v="140000"/>
    <n v="148000"/>
    <n v="10"/>
    <s v="Cancelled"/>
    <s v="Sandeep Rao"/>
    <s v="Net Banking"/>
    <n v="12"/>
    <n v="51.39"/>
    <n v="72000"/>
    <s v="South"/>
    <s v="June"/>
    <n v="6"/>
    <x v="15"/>
  </r>
  <r>
    <s v="ORD1217"/>
    <d v="2024-09-16T00:00:00"/>
    <s v="C018"/>
    <s v="Annual AMC Contract"/>
    <s v="IT Support"/>
    <n v="5"/>
    <n v="199500"/>
    <n v="90000"/>
    <n v="109500"/>
    <n v="5"/>
    <s v="Completed"/>
    <s v="Rohit Sharma"/>
    <s v="Cheque"/>
    <n v="12"/>
    <n v="54.89"/>
    <n v="39900"/>
    <s v="South"/>
    <s v="September"/>
    <n v="9"/>
    <x v="12"/>
  </r>
  <r>
    <s v="ORD1218"/>
    <d v="2024-11-19T00:00:00"/>
    <s v="C019"/>
    <s v="Data Analytics Dashboard"/>
    <s v="Analytics"/>
    <n v="1"/>
    <n v="90000"/>
    <n v="45000"/>
    <n v="45000"/>
    <n v="10"/>
    <s v="Completed"/>
    <s v="Sandeep Rao"/>
    <s v="Net Banking"/>
    <n v="6"/>
    <n v="50"/>
    <n v="90000"/>
    <s v="North"/>
    <s v="November"/>
    <n v="11"/>
    <x v="16"/>
  </r>
  <r>
    <s v="ORD1219"/>
    <d v="2024-01-27T00:00:00"/>
    <s v="C006"/>
    <s v="Network Setup &amp; Config"/>
    <s v="IT Support"/>
    <n v="5"/>
    <n v="208000"/>
    <n v="110000"/>
    <n v="98000"/>
    <n v="20"/>
    <s v="Completed"/>
    <s v="Amit Verma"/>
    <s v="Credit Card"/>
    <n v="3"/>
    <n v="47.12"/>
    <n v="41600"/>
    <s v="West"/>
    <s v="January"/>
    <n v="1"/>
    <x v="19"/>
  </r>
  <r>
    <s v="ORD1220"/>
    <d v="2024-10-20T00:00:00"/>
    <s v="C004"/>
    <s v="Cybersecurity Audit"/>
    <s v="Security Services"/>
    <n v="1"/>
    <n v="57000"/>
    <n v="25000"/>
    <n v="32000"/>
    <n v="5"/>
    <s v="Completed"/>
    <s v="Nikhil Gupta"/>
    <s v="Credit Card"/>
    <n v="24"/>
    <n v="56.14"/>
    <n v="57000"/>
    <s v="North"/>
    <s v="October"/>
    <n v="10"/>
    <x v="26"/>
  </r>
  <r>
    <s v="ORD1221"/>
    <d v="2024-11-30T00:00:00"/>
    <s v="C025"/>
    <s v="API Integration Service"/>
    <s v="Development"/>
    <n v="4"/>
    <n v="281600"/>
    <n v="152000"/>
    <n v="129600"/>
    <n v="20"/>
    <s v="Cancelled"/>
    <s v="Rohit Sharma"/>
    <s v="Credit Card"/>
    <n v="6"/>
    <n v="46.02"/>
    <n v="70400"/>
    <s v="North"/>
    <s v="November"/>
    <n v="11"/>
    <x v="3"/>
  </r>
  <r>
    <s v="ORD1222"/>
    <d v="2024-10-14T00:00:00"/>
    <s v="C022"/>
    <s v="Annual AMC Contract"/>
    <s v="IT Support"/>
    <n v="5"/>
    <n v="199500"/>
    <n v="90000"/>
    <n v="109500"/>
    <n v="5"/>
    <s v="Completed"/>
    <s v="Amit Verma"/>
    <s v="UPI"/>
    <n v="12"/>
    <n v="54.89"/>
    <n v="39900"/>
    <s v="South"/>
    <s v="October"/>
    <n v="10"/>
    <x v="6"/>
  </r>
  <r>
    <s v="ORD1223"/>
    <d v="2024-10-06T00:00:00"/>
    <s v="C025"/>
    <s v="Firewall &amp; Network Security"/>
    <s v="Security Services"/>
    <n v="5"/>
    <n v="237500"/>
    <n v="100000"/>
    <n v="137500"/>
    <n v="5"/>
    <s v="Completed"/>
    <s v="Deepa Iyer"/>
    <s v="Cheque"/>
    <n v="12"/>
    <n v="57.89"/>
    <n v="47500"/>
    <s v="North"/>
    <s v="October"/>
    <n v="10"/>
    <x v="3"/>
  </r>
  <r>
    <s v="ORD1224"/>
    <d v="2024-04-25T00:00:00"/>
    <s v="C010"/>
    <s v="Data Analytics Dashboard"/>
    <s v="Analytics"/>
    <n v="2"/>
    <n v="170000"/>
    <n v="90000"/>
    <n v="80000"/>
    <n v="15"/>
    <s v="Cancelled"/>
    <s v="Sunita Pillai"/>
    <s v="Cheque"/>
    <n v="24"/>
    <n v="47.06"/>
    <n v="85000"/>
    <s v="South"/>
    <s v="April"/>
    <n v="4"/>
    <x v="29"/>
  </r>
  <r>
    <s v="ORD1225"/>
    <d v="2024-06-27T00:00:00"/>
    <s v="C030"/>
    <s v="Firewall &amp; Network Security"/>
    <s v="Security Services"/>
    <n v="3"/>
    <n v="150000"/>
    <n v="60000"/>
    <n v="90000"/>
    <n v="0"/>
    <s v="In Progress"/>
    <s v="Arjun Mehta"/>
    <s v="UPI"/>
    <n v="24"/>
    <n v="60"/>
    <n v="50000"/>
    <s v="North"/>
    <s v="June"/>
    <n v="6"/>
    <x v="23"/>
  </r>
  <r>
    <s v="ORD1226"/>
    <d v="2024-06-25T00:00:00"/>
    <s v="C026"/>
    <s v="ERP Implementation"/>
    <s v="Software License"/>
    <n v="3"/>
    <n v="660000"/>
    <n v="270000"/>
    <n v="390000"/>
    <n v="0"/>
    <s v="Completed"/>
    <s v="Priya Nair"/>
    <s v="Cheque"/>
    <n v="24"/>
    <n v="59.09"/>
    <n v="220000"/>
    <s v="North"/>
    <s v="June"/>
    <n v="6"/>
    <x v="17"/>
  </r>
  <r>
    <s v="ORD1227"/>
    <d v="2024-11-27T00:00:00"/>
    <s v="C007"/>
    <s v="Cybersecurity Audit"/>
    <s v="Security Services"/>
    <n v="5"/>
    <n v="285000"/>
    <n v="125000"/>
    <n v="160000"/>
    <n v="5"/>
    <s v="In Progress"/>
    <s v="Sandeep Rao"/>
    <s v="Credit Card"/>
    <n v="3"/>
    <n v="56.14"/>
    <n v="57000"/>
    <s v="West"/>
    <s v="November"/>
    <n v="11"/>
    <x v="9"/>
  </r>
  <r>
    <s v="ORD1228"/>
    <d v="2024-11-11T00:00:00"/>
    <s v="C008"/>
    <s v="Penetration Testing"/>
    <s v="Security Services"/>
    <n v="1"/>
    <n v="59500"/>
    <n v="30000"/>
    <n v="29500"/>
    <n v="15"/>
    <s v="In Progress"/>
    <s v="Deepa Iyer"/>
    <s v="Credit Card"/>
    <n v="3"/>
    <n v="49.58"/>
    <n v="59500"/>
    <s v="North"/>
    <s v="November"/>
    <n v="11"/>
    <x v="8"/>
  </r>
  <r>
    <s v="ORD1229"/>
    <d v="2024-02-21T00:00:00"/>
    <s v="C023"/>
    <s v="Annual AMC Contract"/>
    <s v="IT Support"/>
    <n v="1"/>
    <n v="35700"/>
    <n v="18000"/>
    <n v="17700"/>
    <n v="15"/>
    <s v="Completed"/>
    <s v="Rohit Sharma"/>
    <s v="Net Banking"/>
    <n v="6"/>
    <n v="49.58"/>
    <n v="35700"/>
    <s v="South"/>
    <s v="February"/>
    <n v="2"/>
    <x v="28"/>
  </r>
  <r>
    <s v="ORD1230"/>
    <d v="2024-07-27T00:00:00"/>
    <s v="C029"/>
    <s v="Annual AMC Contract"/>
    <s v="IT Support"/>
    <n v="4"/>
    <n v="142800"/>
    <n v="72000"/>
    <n v="70800"/>
    <n v="15"/>
    <s v="Completed"/>
    <s v="Sandeep Rao"/>
    <s v="Cheque"/>
    <n v="12"/>
    <n v="49.58"/>
    <n v="35700"/>
    <s v="South"/>
    <s v="July"/>
    <n v="7"/>
    <x v="13"/>
  </r>
  <r>
    <s v="ORD1231"/>
    <d v="2024-10-08T00:00:00"/>
    <s v="C021"/>
    <s v="Web Portal Development"/>
    <s v="Development"/>
    <n v="2"/>
    <n v="261000"/>
    <n v="120000"/>
    <n v="141000"/>
    <n v="10"/>
    <s v="Cancelled"/>
    <s v="Rohit Sharma"/>
    <s v="Credit Card"/>
    <n v="24"/>
    <n v="54.02"/>
    <n v="130500"/>
    <s v="West"/>
    <s v="October"/>
    <n v="10"/>
    <x v="27"/>
  </r>
  <r>
    <s v="ORD1232"/>
    <d v="2024-03-31T00:00:00"/>
    <s v="C002"/>
    <s v="Chatbot Development"/>
    <s v="AI &amp; Automation"/>
    <n v="4"/>
    <n v="520000"/>
    <n v="220000"/>
    <n v="300000"/>
    <n v="0"/>
    <s v="Cancelled"/>
    <s v="Sandeep Rao"/>
    <s v="Bank Transfer"/>
    <n v="3"/>
    <n v="57.69"/>
    <n v="130000"/>
    <s v="West"/>
    <s v="March"/>
    <n v="3"/>
    <x v="14"/>
  </r>
  <r>
    <s v="ORD1233"/>
    <d v="2024-06-01T00:00:00"/>
    <s v="C004"/>
    <s v="Business Intelligence Report"/>
    <s v="Analytics"/>
    <n v="3"/>
    <n v="185250"/>
    <n v="84000"/>
    <n v="101250"/>
    <n v="5"/>
    <s v="Cancelled"/>
    <s v="Arjun Mehta"/>
    <s v="Net Banking"/>
    <n v="24"/>
    <n v="54.66"/>
    <n v="61750"/>
    <s v="North"/>
    <s v="June"/>
    <n v="6"/>
    <x v="26"/>
  </r>
  <r>
    <s v="ORD1234"/>
    <d v="2024-03-09T00:00:00"/>
    <s v="C015"/>
    <s v="Firewall &amp; Network Security"/>
    <s v="Security Services"/>
    <n v="2"/>
    <n v="80000"/>
    <n v="40000"/>
    <n v="40000"/>
    <n v="20"/>
    <s v="Completed"/>
    <s v="Kavita Joshi"/>
    <s v="Credit Card"/>
    <n v="24"/>
    <n v="50"/>
    <n v="40000"/>
    <s v="West"/>
    <s v="March"/>
    <n v="3"/>
    <x v="10"/>
  </r>
  <r>
    <s v="ORD1235"/>
    <d v="2024-10-20T00:00:00"/>
    <s v="C001"/>
    <s v="Business Intelligence Report"/>
    <s v="Analytics"/>
    <n v="3"/>
    <n v="175500"/>
    <n v="84000"/>
    <n v="91500"/>
    <n v="10"/>
    <s v="Cancelled"/>
    <s v="Deepa Iyer"/>
    <s v="Credit Card"/>
    <n v="24"/>
    <n v="52.14"/>
    <n v="58500"/>
    <s v="South"/>
    <s v="October"/>
    <n v="10"/>
    <x v="1"/>
  </r>
  <r>
    <s v="ORD1236"/>
    <d v="2024-08-06T00:00:00"/>
    <s v="C003"/>
    <s v="Chatbot Development"/>
    <s v="AI &amp; Automation"/>
    <n v="1"/>
    <n v="130000"/>
    <n v="55000"/>
    <n v="75000"/>
    <n v="0"/>
    <s v="Completed"/>
    <s v="Sunita Pillai"/>
    <s v="Cheque"/>
    <n v="6"/>
    <n v="57.69"/>
    <n v="130000"/>
    <s v="South"/>
    <s v="August"/>
    <n v="8"/>
    <x v="7"/>
  </r>
  <r>
    <s v="ORD1237"/>
    <d v="2024-10-27T00:00:00"/>
    <s v="C015"/>
    <s v="Firewall &amp; Network Security"/>
    <s v="Security Services"/>
    <n v="3"/>
    <n v="142500"/>
    <n v="60000"/>
    <n v="82500"/>
    <n v="5"/>
    <s v="In Progress"/>
    <s v="Pooja Singh"/>
    <s v="Bank Transfer"/>
    <n v="12"/>
    <n v="57.89"/>
    <n v="47500"/>
    <s v="West"/>
    <s v="October"/>
    <n v="10"/>
    <x v="10"/>
  </r>
  <r>
    <s v="ORD1238"/>
    <d v="2024-11-30T00:00:00"/>
    <s v="C008"/>
    <s v="Cloud Migration Service"/>
    <s v="Cloud Services"/>
    <n v="1"/>
    <n v="133000"/>
    <n v="60000"/>
    <n v="73000"/>
    <n v="5"/>
    <s v="Completed"/>
    <s v="Amit Verma"/>
    <s v="UPI"/>
    <n v="12"/>
    <n v="54.89"/>
    <n v="133000"/>
    <s v="North"/>
    <s v="November"/>
    <n v="11"/>
    <x v="8"/>
  </r>
  <r>
    <s v="ORD1239"/>
    <d v="2024-11-03T00:00:00"/>
    <s v="C012"/>
    <s v="API Integration Service"/>
    <s v="Development"/>
    <n v="2"/>
    <n v="176000"/>
    <n v="76000"/>
    <n v="100000"/>
    <n v="0"/>
    <s v="Completed"/>
    <s v="Sunita Pillai"/>
    <s v="Credit Card"/>
    <n v="24"/>
    <n v="56.82"/>
    <n v="88000"/>
    <s v="North"/>
    <s v="November"/>
    <n v="11"/>
    <x v="18"/>
  </r>
  <r>
    <s v="ORD1240"/>
    <d v="2024-11-06T00:00:00"/>
    <s v="C023"/>
    <s v="Mobile App Development"/>
    <s v="Development"/>
    <n v="4"/>
    <n v="640000"/>
    <n v="340000"/>
    <n v="300000"/>
    <n v="20"/>
    <s v="In Progress"/>
    <s v="Deepa Iyer"/>
    <s v="Credit Card"/>
    <n v="3"/>
    <n v="46.88"/>
    <n v="160000"/>
    <s v="South"/>
    <s v="November"/>
    <n v="11"/>
    <x v="28"/>
  </r>
  <r>
    <s v="ORD1241"/>
    <d v="2024-09-26T00:00:00"/>
    <s v="C023"/>
    <s v="AI/ML Model Development"/>
    <s v="AI &amp; Automation"/>
    <n v="1"/>
    <n v="252000"/>
    <n v="120000"/>
    <n v="132000"/>
    <n v="10"/>
    <s v="Completed"/>
    <s v="Rohit Sharma"/>
    <s v="Net Banking"/>
    <n v="6"/>
    <n v="52.38"/>
    <n v="252000"/>
    <s v="South"/>
    <s v="September"/>
    <n v="9"/>
    <x v="28"/>
  </r>
  <r>
    <s v="ORD1242"/>
    <d v="2024-10-20T00:00:00"/>
    <s v="C006"/>
    <s v="Business Intelligence Report"/>
    <s v="Analytics"/>
    <n v="5"/>
    <n v="308750"/>
    <n v="140000"/>
    <n v="168750"/>
    <n v="5"/>
    <s v="Completed"/>
    <s v="Deepa Iyer"/>
    <s v="Net Banking"/>
    <n v="24"/>
    <n v="54.66"/>
    <n v="61750"/>
    <s v="West"/>
    <s v="October"/>
    <n v="10"/>
    <x v="19"/>
  </r>
  <r>
    <s v="ORD1243"/>
    <d v="2024-02-16T00:00:00"/>
    <s v="C015"/>
    <s v="Cloud Migration Service"/>
    <s v="Cloud Services"/>
    <n v="4"/>
    <n v="560000"/>
    <n v="240000"/>
    <n v="320000"/>
    <n v="0"/>
    <s v="In Progress"/>
    <s v="Nikhil Gupta"/>
    <s v="UPI"/>
    <n v="3"/>
    <n v="57.14"/>
    <n v="140000"/>
    <s v="West"/>
    <s v="February"/>
    <n v="2"/>
    <x v="10"/>
  </r>
  <r>
    <s v="ORD1244"/>
    <d v="2024-10-13T00:00:00"/>
    <s v="C026"/>
    <s v="Data Analytics Dashboard"/>
    <s v="Analytics"/>
    <n v="1"/>
    <n v="95000"/>
    <n v="45000"/>
    <n v="50000"/>
    <n v="5"/>
    <s v="Completed"/>
    <s v="Rohit Sharma"/>
    <s v="Credit Card"/>
    <n v="3"/>
    <n v="52.63"/>
    <n v="95000"/>
    <s v="North"/>
    <s v="October"/>
    <n v="10"/>
    <x v="17"/>
  </r>
  <r>
    <s v="ORD1245"/>
    <d v="2024-01-24T00:00:00"/>
    <s v="C023"/>
    <s v="AWS Management Package"/>
    <s v="Cloud Services"/>
    <n v="5"/>
    <n v="600000"/>
    <n v="250000"/>
    <n v="350000"/>
    <n v="0"/>
    <s v="Completed"/>
    <s v="Sunita Pillai"/>
    <s v="Bank Transfer"/>
    <n v="12"/>
    <n v="58.33"/>
    <n v="120000"/>
    <s v="South"/>
    <s v="January"/>
    <n v="1"/>
    <x v="28"/>
  </r>
  <r>
    <s v="ORD1246"/>
    <d v="2024-10-14T00:00:00"/>
    <s v="C025"/>
    <s v="RPA Implementation"/>
    <s v="AI &amp; Automation"/>
    <n v="3"/>
    <n v="456000"/>
    <n v="210000"/>
    <n v="246000"/>
    <n v="5"/>
    <s v="Completed"/>
    <s v="Nikhil Gupta"/>
    <s v="UPI"/>
    <n v="3"/>
    <n v="53.95"/>
    <n v="152000"/>
    <s v="North"/>
    <s v="October"/>
    <n v="10"/>
    <x v="3"/>
  </r>
  <r>
    <s v="ORD1247"/>
    <d v="2024-12-15T00:00:00"/>
    <s v="C028"/>
    <s v="Mobile App Development"/>
    <s v="Development"/>
    <n v="2"/>
    <n v="340000"/>
    <n v="170000"/>
    <n v="170000"/>
    <n v="15"/>
    <s v="Completed"/>
    <s v="Priya Nair"/>
    <s v="Credit Card"/>
    <n v="24"/>
    <n v="50"/>
    <n v="170000"/>
    <s v="South"/>
    <s v="December"/>
    <n v="12"/>
    <x v="5"/>
  </r>
  <r>
    <s v="ORD1248"/>
    <d v="2024-10-25T00:00:00"/>
    <s v="C027"/>
    <s v="Cloud Infrastructure Setup"/>
    <s v="Cloud Services"/>
    <n v="1"/>
    <n v="171000"/>
    <n v="80000"/>
    <n v="91000"/>
    <n v="5"/>
    <s v="Completed"/>
    <s v="Arjun Mehta"/>
    <s v="UPI"/>
    <n v="24"/>
    <n v="53.22"/>
    <n v="171000"/>
    <s v="North"/>
    <s v="October"/>
    <n v="10"/>
    <x v="24"/>
  </r>
  <r>
    <s v="ORD1249"/>
    <d v="2024-11-10T00:00:00"/>
    <s v="C005"/>
    <s v="Firewall &amp; Network Security"/>
    <s v="Security Services"/>
    <n v="2"/>
    <n v="85000"/>
    <n v="40000"/>
    <n v="45000"/>
    <n v="15"/>
    <s v="Completed"/>
    <s v="Rohit Sharma"/>
    <s v="UPI"/>
    <n v="3"/>
    <n v="52.94"/>
    <n v="42500"/>
    <s v="West"/>
    <s v="November"/>
    <n v="11"/>
    <x v="11"/>
  </r>
  <r>
    <s v="ORD1250"/>
    <d v="2024-10-09T00:00:00"/>
    <s v="C020"/>
    <s v="Cloud Migration Service"/>
    <s v="Cloud Services"/>
    <n v="4"/>
    <n v="504000"/>
    <n v="240000"/>
    <n v="264000"/>
    <n v="10"/>
    <s v="Cancelled"/>
    <s v="Rohit Sharma"/>
    <s v="Credit Card"/>
    <n v="3"/>
    <n v="52.38"/>
    <n v="126000"/>
    <s v="North"/>
    <s v="October"/>
    <n v="10"/>
    <x v="21"/>
  </r>
  <r>
    <s v="ORD1251"/>
    <d v="2024-07-24T00:00:00"/>
    <s v="C018"/>
    <s v="Cybersecurity Audit"/>
    <s v="Security Services"/>
    <n v="1"/>
    <n v="60000"/>
    <n v="25000"/>
    <n v="35000"/>
    <n v="0"/>
    <s v="In Progress"/>
    <s v="Sandeep Rao"/>
    <s v="Credit Card"/>
    <n v="12"/>
    <n v="58.33"/>
    <n v="60000"/>
    <s v="South"/>
    <s v="July"/>
    <n v="7"/>
    <x v="12"/>
  </r>
  <r>
    <s v="ORD1252"/>
    <d v="2024-10-22T00:00:00"/>
    <s v="C022"/>
    <s v="Business Intelligence Report"/>
    <s v="Analytics"/>
    <n v="2"/>
    <n v="123500"/>
    <n v="56000"/>
    <n v="67500"/>
    <n v="5"/>
    <s v="Completed"/>
    <s v="Arjun Mehta"/>
    <s v="Credit Card"/>
    <n v="24"/>
    <n v="54.66"/>
    <n v="61750"/>
    <s v="South"/>
    <s v="October"/>
    <n v="10"/>
    <x v="6"/>
  </r>
  <r>
    <s v="ORD1253"/>
    <d v="2024-12-07T00:00:00"/>
    <s v="C019"/>
    <s v="HR Management System"/>
    <s v="Software License"/>
    <n v="4"/>
    <n v="288000"/>
    <n v="140000"/>
    <n v="148000"/>
    <n v="10"/>
    <s v="Completed"/>
    <s v="Rohit Sharma"/>
    <s v="Cheque"/>
    <n v="24"/>
    <n v="51.39"/>
    <n v="72000"/>
    <s v="North"/>
    <s v="December"/>
    <n v="12"/>
    <x v="16"/>
  </r>
  <r>
    <s v="ORD1254"/>
    <d v="2024-09-25T00:00:00"/>
    <s v="C014"/>
    <s v="RPA Implementation"/>
    <s v="AI &amp; Automation"/>
    <n v="2"/>
    <n v="304000"/>
    <n v="140000"/>
    <n v="164000"/>
    <n v="5"/>
    <s v="Completed"/>
    <s v="Amit Verma"/>
    <s v="Net Banking"/>
    <n v="24"/>
    <n v="53.95"/>
    <n v="152000"/>
    <s v="South"/>
    <s v="September"/>
    <n v="9"/>
    <x v="2"/>
  </r>
  <r>
    <s v="ORD1255"/>
    <d v="2024-05-03T00:00:00"/>
    <s v="C010"/>
    <s v="ERP Implementation"/>
    <s v="Software License"/>
    <n v="4"/>
    <n v="880000"/>
    <n v="360000"/>
    <n v="520000"/>
    <n v="0"/>
    <s v="In Progress"/>
    <s v="Nikhil Gupta"/>
    <s v="UPI"/>
    <n v="6"/>
    <n v="59.09"/>
    <n v="220000"/>
    <s v="South"/>
    <s v="May"/>
    <n v="5"/>
    <x v="29"/>
  </r>
  <r>
    <s v="ORD1256"/>
    <d v="2024-10-23T00:00:00"/>
    <s v="C011"/>
    <s v="AWS Management Package"/>
    <s v="Cloud Services"/>
    <n v="4"/>
    <n v="384000"/>
    <n v="200000"/>
    <n v="184000"/>
    <n v="20"/>
    <s v="Completed"/>
    <s v="Priya Nair"/>
    <s v="Net Banking"/>
    <n v="6"/>
    <n v="47.92"/>
    <n v="96000"/>
    <s v="South"/>
    <s v="October"/>
    <n v="10"/>
    <x v="15"/>
  </r>
  <r>
    <s v="ORD1257"/>
    <d v="2024-12-22T00:00:00"/>
    <s v="C020"/>
    <s v="API Integration Service"/>
    <s v="Development"/>
    <n v="1"/>
    <n v="70400"/>
    <n v="38000"/>
    <n v="32400"/>
    <n v="20"/>
    <s v="Completed"/>
    <s v="Deepa Iyer"/>
    <s v="Net Banking"/>
    <n v="6"/>
    <n v="46.02"/>
    <n v="70400"/>
    <s v="North"/>
    <s v="December"/>
    <n v="12"/>
    <x v="21"/>
  </r>
  <r>
    <s v="ORD1258"/>
    <d v="2024-11-08T00:00:00"/>
    <s v="C010"/>
    <s v="Cloud Infrastructure Setup"/>
    <s v="Cloud Services"/>
    <n v="2"/>
    <n v="360000"/>
    <n v="160000"/>
    <n v="200000"/>
    <n v="0"/>
    <s v="Cancelled"/>
    <s v="Priya Nair"/>
    <s v="UPI"/>
    <n v="6"/>
    <n v="55.56"/>
    <n v="180000"/>
    <s v="South"/>
    <s v="November"/>
    <n v="11"/>
    <x v="29"/>
  </r>
  <r>
    <s v="ORD1259"/>
    <d v="2024-12-22T00:00:00"/>
    <s v="C007"/>
    <s v="Chatbot Development"/>
    <s v="AI &amp; Automation"/>
    <n v="2"/>
    <n v="234000"/>
    <n v="110000"/>
    <n v="124000"/>
    <n v="10"/>
    <s v="Completed"/>
    <s v="Sandeep Rao"/>
    <s v="UPI"/>
    <n v="24"/>
    <n v="52.99"/>
    <n v="117000"/>
    <s v="West"/>
    <s v="December"/>
    <n v="12"/>
    <x v="9"/>
  </r>
  <r>
    <s v="ORD1260"/>
    <d v="2024-09-30T00:00:00"/>
    <s v="C010"/>
    <s v="Firewall &amp; Network Security"/>
    <s v="Security Services"/>
    <n v="3"/>
    <n v="135000"/>
    <n v="60000"/>
    <n v="75000"/>
    <n v="10"/>
    <s v="Completed"/>
    <s v="Sunita Pillai"/>
    <s v="Bank Transfer"/>
    <n v="24"/>
    <n v="55.56"/>
    <n v="45000"/>
    <s v="South"/>
    <s v="September"/>
    <n v="9"/>
    <x v="29"/>
  </r>
  <r>
    <s v="ORD1261"/>
    <d v="2024-06-12T00:00:00"/>
    <s v="C012"/>
    <s v="Business Intelligence Report"/>
    <s v="Analytics"/>
    <n v="4"/>
    <n v="260000"/>
    <n v="112000"/>
    <n v="148000"/>
    <n v="0"/>
    <s v="In Progress"/>
    <s v="Deepa Iyer"/>
    <s v="Credit Card"/>
    <n v="3"/>
    <n v="56.92"/>
    <n v="65000"/>
    <s v="North"/>
    <s v="June"/>
    <n v="6"/>
    <x v="18"/>
  </r>
  <r>
    <s v="ORD1262"/>
    <d v="2024-05-13T00:00:00"/>
    <s v="C019"/>
    <s v="Web Portal Development"/>
    <s v="Development"/>
    <n v="4"/>
    <n v="551000"/>
    <n v="240000"/>
    <n v="311000"/>
    <n v="5"/>
    <s v="Completed"/>
    <s v="Deepa Iyer"/>
    <s v="Cheque"/>
    <n v="6"/>
    <n v="56.44"/>
    <n v="137750"/>
    <s v="North"/>
    <s v="May"/>
    <n v="5"/>
    <x v="16"/>
  </r>
  <r>
    <s v="ORD1263"/>
    <d v="2024-07-13T00:00:00"/>
    <s v="C008"/>
    <s v="Annual AMC Contract"/>
    <s v="IT Support"/>
    <n v="5"/>
    <n v="178500"/>
    <n v="90000"/>
    <n v="88500"/>
    <n v="15"/>
    <s v="Cancelled"/>
    <s v="Kavita Joshi"/>
    <s v="Cheque"/>
    <n v="24"/>
    <n v="49.58"/>
    <n v="35700"/>
    <s v="North"/>
    <s v="July"/>
    <n v="7"/>
    <x v="8"/>
  </r>
  <r>
    <s v="ORD1264"/>
    <d v="2024-11-24T00:00:00"/>
    <s v="C015"/>
    <s v="HR Management System"/>
    <s v="Software License"/>
    <n v="3"/>
    <n v="240000"/>
    <n v="105000"/>
    <n v="135000"/>
    <n v="0"/>
    <s v="Completed"/>
    <s v="Arjun Mehta"/>
    <s v="UPI"/>
    <n v="6"/>
    <n v="56.25"/>
    <n v="80000"/>
    <s v="West"/>
    <s v="November"/>
    <n v="11"/>
    <x v="10"/>
  </r>
  <r>
    <s v="ORD1265"/>
    <d v="2024-10-04T00:00:00"/>
    <s v="C002"/>
    <s v="Network Setup &amp; Config"/>
    <s v="IT Support"/>
    <n v="1"/>
    <n v="41600"/>
    <n v="22000"/>
    <n v="19600"/>
    <n v="20"/>
    <s v="Completed"/>
    <s v="Rohit Sharma"/>
    <s v="Bank Transfer"/>
    <n v="24"/>
    <n v="47.12"/>
    <n v="41600"/>
    <s v="West"/>
    <s v="October"/>
    <n v="10"/>
    <x v="14"/>
  </r>
  <r>
    <s v="ORD1266"/>
    <d v="2024-03-11T00:00:00"/>
    <s v="C008"/>
    <s v="AWS Management Package"/>
    <s v="Cloud Services"/>
    <n v="2"/>
    <n v="240000"/>
    <n v="100000"/>
    <n v="140000"/>
    <n v="0"/>
    <s v="Completed"/>
    <s v="Arjun Mehta"/>
    <s v="UPI"/>
    <n v="12"/>
    <n v="58.33"/>
    <n v="120000"/>
    <s v="North"/>
    <s v="March"/>
    <n v="3"/>
    <x v="8"/>
  </r>
  <r>
    <s v="ORD1267"/>
    <d v="2024-01-31T00:00:00"/>
    <s v="C022"/>
    <s v="API Integration Service"/>
    <s v="Development"/>
    <n v="4"/>
    <n v="299200"/>
    <n v="152000"/>
    <n v="147200"/>
    <n v="15"/>
    <s v="Completed"/>
    <s v="Rohit Sharma"/>
    <s v="Bank Transfer"/>
    <n v="24"/>
    <n v="49.2"/>
    <n v="74800"/>
    <s v="South"/>
    <s v="January"/>
    <n v="1"/>
    <x v="6"/>
  </r>
  <r>
    <s v="ORD1268"/>
    <d v="2024-12-28T00:00:00"/>
    <s v="C009"/>
    <s v="Mobile App Development"/>
    <s v="Development"/>
    <n v="3"/>
    <n v="600000"/>
    <n v="255000"/>
    <n v="345000"/>
    <n v="0"/>
    <s v="In Progress"/>
    <s v="Nikhil Gupta"/>
    <s v="Credit Card"/>
    <n v="3"/>
    <n v="57.5"/>
    <n v="200000"/>
    <s v="South"/>
    <s v="December"/>
    <n v="12"/>
    <x v="0"/>
  </r>
  <r>
    <s v="ORD1269"/>
    <d v="2024-02-19T00:00:00"/>
    <s v="C008"/>
    <s v="Cybersecurity Audit"/>
    <s v="Security Services"/>
    <n v="5"/>
    <n v="270000"/>
    <n v="125000"/>
    <n v="145000"/>
    <n v="10"/>
    <s v="Completed"/>
    <s v="Kavita Joshi"/>
    <s v="Cheque"/>
    <n v="24"/>
    <n v="53.7"/>
    <n v="54000"/>
    <s v="North"/>
    <s v="February"/>
    <n v="2"/>
    <x v="8"/>
  </r>
  <r>
    <s v="ORD1270"/>
    <d v="2024-02-10T00:00:00"/>
    <s v="C013"/>
    <s v="IT Support &amp; Maintenance"/>
    <s v="IT Support"/>
    <n v="5"/>
    <n v="175000"/>
    <n v="75000"/>
    <n v="100000"/>
    <n v="0"/>
    <s v="Cancelled"/>
    <s v="Deepa Iyer"/>
    <s v="Cheque"/>
    <n v="3"/>
    <n v="57.14"/>
    <n v="35000"/>
    <s v="North"/>
    <s v="February"/>
    <n v="2"/>
    <x v="25"/>
  </r>
  <r>
    <s v="ORD1271"/>
    <d v="2024-11-30T00:00:00"/>
    <s v="C021"/>
    <s v="Cloud Migration Service"/>
    <s v="Cloud Services"/>
    <n v="1"/>
    <n v="133000"/>
    <n v="60000"/>
    <n v="73000"/>
    <n v="5"/>
    <s v="Completed"/>
    <s v="Nikhil Gupta"/>
    <s v="Net Banking"/>
    <n v="24"/>
    <n v="54.89"/>
    <n v="133000"/>
    <s v="West"/>
    <s v="November"/>
    <n v="11"/>
    <x v="27"/>
  </r>
  <r>
    <s v="ORD1272"/>
    <d v="2024-01-29T00:00:00"/>
    <s v="C023"/>
    <s v="HR Management System"/>
    <s v="Software License"/>
    <n v="1"/>
    <n v="76000"/>
    <n v="35000"/>
    <n v="41000"/>
    <n v="5"/>
    <s v="Completed"/>
    <s v="Kavita Joshi"/>
    <s v="Net Banking"/>
    <n v="3"/>
    <n v="53.95"/>
    <n v="76000"/>
    <s v="South"/>
    <s v="January"/>
    <n v="1"/>
    <x v="28"/>
  </r>
  <r>
    <s v="ORD1273"/>
    <d v="2024-09-27T00:00:00"/>
    <s v="C008"/>
    <s v="Cybersecurity Audit"/>
    <s v="Security Services"/>
    <n v="5"/>
    <n v="285000"/>
    <n v="125000"/>
    <n v="160000"/>
    <n v="5"/>
    <s v="Completed"/>
    <s v="Rohit Sharma"/>
    <s v="Bank Transfer"/>
    <n v="12"/>
    <n v="56.14"/>
    <n v="57000"/>
    <s v="North"/>
    <s v="September"/>
    <n v="9"/>
    <x v="8"/>
  </r>
  <r>
    <s v="ORD1274"/>
    <d v="2024-10-05T00:00:00"/>
    <s v="C002"/>
    <s v="HR Management System"/>
    <s v="Software License"/>
    <n v="3"/>
    <n v="240000"/>
    <n v="105000"/>
    <n v="135000"/>
    <n v="0"/>
    <s v="Completed"/>
    <s v="Pooja Singh"/>
    <s v="Credit Card"/>
    <n v="24"/>
    <n v="56.25"/>
    <n v="80000"/>
    <s v="West"/>
    <s v="October"/>
    <n v="10"/>
    <x v="14"/>
  </r>
  <r>
    <s v="ORD1275"/>
    <d v="2024-12-08T00:00:00"/>
    <s v="C008"/>
    <s v="Web Portal Development"/>
    <s v="Development"/>
    <n v="4"/>
    <n v="493000"/>
    <n v="240000"/>
    <n v="253000"/>
    <n v="15"/>
    <s v="In Progress"/>
    <s v="Kavita Joshi"/>
    <s v="UPI"/>
    <n v="6"/>
    <n v="51.32"/>
    <n v="123250"/>
    <s v="North"/>
    <s v="December"/>
    <n v="12"/>
    <x v="8"/>
  </r>
  <r>
    <s v="ORD1276"/>
    <d v="2024-12-18T00:00:00"/>
    <s v="C017"/>
    <s v="AI/ML Model Development"/>
    <s v="AI &amp; Automation"/>
    <n v="1"/>
    <n v="280000"/>
    <n v="120000"/>
    <n v="160000"/>
    <n v="0"/>
    <s v="Completed"/>
    <s v="Deepa Iyer"/>
    <s v="Bank Transfer"/>
    <n v="12"/>
    <n v="57.14"/>
    <n v="280000"/>
    <s v="South"/>
    <s v="December"/>
    <n v="12"/>
    <x v="20"/>
  </r>
  <r>
    <s v="ORD1277"/>
    <d v="2024-11-05T00:00:00"/>
    <s v="C020"/>
    <s v="Chatbot Development"/>
    <s v="AI &amp; Automation"/>
    <n v="3"/>
    <n v="390000"/>
    <n v="165000"/>
    <n v="225000"/>
    <n v="0"/>
    <s v="Cancelled"/>
    <s v="Sandeep Rao"/>
    <s v="UPI"/>
    <n v="24"/>
    <n v="57.69"/>
    <n v="130000"/>
    <s v="North"/>
    <s v="November"/>
    <n v="11"/>
    <x v="21"/>
  </r>
  <r>
    <s v="ORD1278"/>
    <d v="2024-04-26T00:00:00"/>
    <s v="C013"/>
    <s v="RPA Implementation"/>
    <s v="AI &amp; Automation"/>
    <n v="2"/>
    <n v="272000"/>
    <n v="140000"/>
    <n v="132000"/>
    <n v="15"/>
    <s v="In Progress"/>
    <s v="Nikhil Gupta"/>
    <s v="Bank Transfer"/>
    <n v="12"/>
    <n v="48.53"/>
    <n v="136000"/>
    <s v="North"/>
    <s v="April"/>
    <n v="4"/>
    <x v="25"/>
  </r>
  <r>
    <s v="ORD1279"/>
    <d v="2024-05-06T00:00:00"/>
    <s v="C003"/>
    <s v="Firewall &amp; Network Security"/>
    <s v="Security Services"/>
    <n v="2"/>
    <n v="95000"/>
    <n v="40000"/>
    <n v="55000"/>
    <n v="5"/>
    <s v="Cancelled"/>
    <s v="Amit Verma"/>
    <s v="UPI"/>
    <n v="12"/>
    <n v="57.89"/>
    <n v="47500"/>
    <s v="South"/>
    <s v="May"/>
    <n v="5"/>
    <x v="7"/>
  </r>
  <r>
    <s v="ORD1280"/>
    <d v="2024-09-27T00:00:00"/>
    <s v="C010"/>
    <s v="IT Support &amp; Maintenance"/>
    <s v="IT Support"/>
    <n v="3"/>
    <n v="84000"/>
    <n v="45000"/>
    <n v="39000"/>
    <n v="20"/>
    <s v="Completed"/>
    <s v="Priya Nair"/>
    <s v="Credit Card"/>
    <n v="3"/>
    <n v="46.43"/>
    <n v="28000"/>
    <s v="South"/>
    <s v="September"/>
    <n v="9"/>
    <x v="29"/>
  </r>
  <r>
    <s v="ORD1281"/>
    <d v="2024-04-05T00:00:00"/>
    <s v="C018"/>
    <s v="Mobile App Development"/>
    <s v="Development"/>
    <n v="5"/>
    <n v="950000"/>
    <n v="425000"/>
    <n v="525000"/>
    <n v="5"/>
    <s v="Completed"/>
    <s v="Rohit Sharma"/>
    <s v="Bank Transfer"/>
    <n v="12"/>
    <n v="55.26"/>
    <n v="190000"/>
    <s v="South"/>
    <s v="April"/>
    <n v="4"/>
    <x v="12"/>
  </r>
  <r>
    <s v="ORD1282"/>
    <d v="2024-12-12T00:00:00"/>
    <s v="C026"/>
    <s v="Business Intelligence Report"/>
    <s v="Analytics"/>
    <n v="4"/>
    <n v="260000"/>
    <n v="112000"/>
    <n v="148000"/>
    <n v="0"/>
    <s v="Completed"/>
    <s v="Nikhil Gupta"/>
    <s v="UPI"/>
    <n v="3"/>
    <n v="56.92"/>
    <n v="65000"/>
    <s v="North"/>
    <s v="December"/>
    <n v="12"/>
    <x v="17"/>
  </r>
  <r>
    <s v="ORD1283"/>
    <d v="2024-10-13T00:00:00"/>
    <s v="C008"/>
    <s v="Web Portal Development"/>
    <s v="Development"/>
    <n v="5"/>
    <n v="725000"/>
    <n v="300000"/>
    <n v="425000"/>
    <n v="0"/>
    <s v="Cancelled"/>
    <s v="Nikhil Gupta"/>
    <s v="Credit Card"/>
    <n v="6"/>
    <n v="58.62"/>
    <n v="145000"/>
    <s v="North"/>
    <s v="October"/>
    <n v="10"/>
    <x v="8"/>
  </r>
  <r>
    <s v="ORD1284"/>
    <d v="2024-05-17T00:00:00"/>
    <s v="C016"/>
    <s v="ERP Implementation"/>
    <s v="Software License"/>
    <n v="1"/>
    <n v="220000"/>
    <n v="90000"/>
    <n v="130000"/>
    <n v="0"/>
    <s v="Completed"/>
    <s v="Sandeep Rao"/>
    <s v="UPI"/>
    <n v="12"/>
    <n v="59.09"/>
    <n v="220000"/>
    <s v="South"/>
    <s v="May"/>
    <n v="5"/>
    <x v="22"/>
  </r>
  <r>
    <s v="ORD1285"/>
    <d v="2024-09-04T00:00:00"/>
    <s v="C012"/>
    <s v="Firewall &amp; Network Security"/>
    <s v="Security Services"/>
    <n v="2"/>
    <n v="85000"/>
    <n v="40000"/>
    <n v="45000"/>
    <n v="15"/>
    <s v="Cancelled"/>
    <s v="Sunita Pillai"/>
    <s v="Net Banking"/>
    <n v="6"/>
    <n v="52.94"/>
    <n v="42500"/>
    <s v="North"/>
    <s v="September"/>
    <n v="9"/>
    <x v="18"/>
  </r>
  <r>
    <s v="ORD1286"/>
    <d v="2024-11-04T00:00:00"/>
    <s v="C001"/>
    <s v="Chatbot Development"/>
    <s v="AI &amp; Automation"/>
    <n v="3"/>
    <n v="312000"/>
    <n v="165000"/>
    <n v="147000"/>
    <n v="20"/>
    <s v="In Progress"/>
    <s v="Nikhil Gupta"/>
    <s v="Cheque"/>
    <n v="24"/>
    <n v="47.12"/>
    <n v="104000"/>
    <s v="South"/>
    <s v="November"/>
    <n v="11"/>
    <x v="1"/>
  </r>
  <r>
    <s v="ORD1287"/>
    <d v="2024-06-20T00:00:00"/>
    <s v="C027"/>
    <s v="API Integration Service"/>
    <s v="Development"/>
    <n v="2"/>
    <n v="167200"/>
    <n v="76000"/>
    <n v="91200"/>
    <n v="5"/>
    <s v="Completed"/>
    <s v="Pooja Singh"/>
    <s v="Credit Card"/>
    <n v="24"/>
    <n v="54.55"/>
    <n v="83600"/>
    <s v="North"/>
    <s v="June"/>
    <n v="6"/>
    <x v="24"/>
  </r>
  <r>
    <s v="ORD1288"/>
    <d v="2024-11-16T00:00:00"/>
    <s v="C011"/>
    <s v="Data Analytics Dashboard"/>
    <s v="Analytics"/>
    <n v="4"/>
    <n v="360000"/>
    <n v="180000"/>
    <n v="180000"/>
    <n v="10"/>
    <s v="Completed"/>
    <s v="Kavita Joshi"/>
    <s v="UPI"/>
    <n v="12"/>
    <n v="50"/>
    <n v="90000"/>
    <s v="South"/>
    <s v="November"/>
    <n v="11"/>
    <x v="15"/>
  </r>
  <r>
    <s v="ORD1289"/>
    <d v="2024-07-20T00:00:00"/>
    <s v="C030"/>
    <s v="Web Portal Development"/>
    <s v="Development"/>
    <n v="2"/>
    <n v="261000"/>
    <n v="120000"/>
    <n v="141000"/>
    <n v="10"/>
    <s v="In Progress"/>
    <s v="Amit Verma"/>
    <s v="Net Banking"/>
    <n v="3"/>
    <n v="54.02"/>
    <n v="130500"/>
    <s v="North"/>
    <s v="July"/>
    <n v="7"/>
    <x v="23"/>
  </r>
  <r>
    <s v="ORD1290"/>
    <d v="2024-08-24T00:00:00"/>
    <s v="C007"/>
    <s v="IT Support &amp; Maintenance"/>
    <s v="IT Support"/>
    <n v="3"/>
    <n v="84000"/>
    <n v="45000"/>
    <n v="39000"/>
    <n v="20"/>
    <s v="Cancelled"/>
    <s v="Priya Nair"/>
    <s v="UPI"/>
    <n v="24"/>
    <n v="46.43"/>
    <n v="28000"/>
    <s v="West"/>
    <s v="August"/>
    <n v="8"/>
    <x v="9"/>
  </r>
  <r>
    <s v="ORD1291"/>
    <d v="2024-03-12T00:00:00"/>
    <s v="C008"/>
    <s v="Firewall &amp; Network Security"/>
    <s v="Security Services"/>
    <n v="2"/>
    <n v="85000"/>
    <n v="40000"/>
    <n v="45000"/>
    <n v="15"/>
    <s v="Completed"/>
    <s v="Nikhil Gupta"/>
    <s v="Bank Transfer"/>
    <n v="24"/>
    <n v="52.94"/>
    <n v="42500"/>
    <s v="North"/>
    <s v="March"/>
    <n v="3"/>
    <x v="8"/>
  </r>
  <r>
    <s v="ORD1292"/>
    <d v="2024-11-02T00:00:00"/>
    <s v="C013"/>
    <s v="Mobile App Development"/>
    <s v="Development"/>
    <n v="5"/>
    <n v="800000"/>
    <n v="425000"/>
    <n v="375000"/>
    <n v="20"/>
    <s v="Cancelled"/>
    <s v="Nikhil Gupta"/>
    <s v="Net Banking"/>
    <n v="3"/>
    <n v="46.88"/>
    <n v="160000"/>
    <s v="North"/>
    <s v="November"/>
    <n v="11"/>
    <x v="25"/>
  </r>
  <r>
    <s v="ORD1293"/>
    <d v="2024-07-03T00:00:00"/>
    <s v="C026"/>
    <s v="Mobile App Development"/>
    <s v="Development"/>
    <n v="5"/>
    <n v="850000"/>
    <n v="425000"/>
    <n v="425000"/>
    <n v="15"/>
    <s v="Completed"/>
    <s v="Priya Nair"/>
    <s v="Credit Card"/>
    <n v="12"/>
    <n v="50"/>
    <n v="170000"/>
    <s v="North"/>
    <s v="July"/>
    <n v="7"/>
    <x v="17"/>
  </r>
  <r>
    <s v="ORD1294"/>
    <d v="2024-03-26T00:00:00"/>
    <s v="C002"/>
    <s v="Web Portal Development"/>
    <s v="Development"/>
    <n v="4"/>
    <n v="464000"/>
    <n v="240000"/>
    <n v="224000"/>
    <n v="20"/>
    <s v="Completed"/>
    <s v="Nikhil Gupta"/>
    <s v="Bank Transfer"/>
    <n v="3"/>
    <n v="48.28"/>
    <n v="116000"/>
    <s v="West"/>
    <s v="March"/>
    <n v="3"/>
    <x v="14"/>
  </r>
  <r>
    <s v="ORD1295"/>
    <d v="2024-12-01T00:00:00"/>
    <s v="C024"/>
    <s v="Network Setup &amp; Config"/>
    <s v="IT Support"/>
    <n v="5"/>
    <n v="234000"/>
    <n v="110000"/>
    <n v="124000"/>
    <n v="10"/>
    <s v="Cancelled"/>
    <s v="Pooja Singh"/>
    <s v="Credit Card"/>
    <n v="24"/>
    <n v="52.99"/>
    <n v="46800"/>
    <s v="North"/>
    <s v="December"/>
    <n v="12"/>
    <x v="4"/>
  </r>
  <r>
    <s v="ORD1296"/>
    <d v="2024-07-10T00:00:00"/>
    <s v="C025"/>
    <s v="Web Portal Development"/>
    <s v="Development"/>
    <n v="5"/>
    <n v="725000"/>
    <n v="300000"/>
    <n v="425000"/>
    <n v="0"/>
    <s v="Completed"/>
    <s v="Rohit Sharma"/>
    <s v="UPI"/>
    <n v="3"/>
    <n v="58.62"/>
    <n v="145000"/>
    <s v="North"/>
    <s v="July"/>
    <n v="7"/>
    <x v="3"/>
  </r>
  <r>
    <s v="ORD1297"/>
    <d v="2024-05-31T00:00:00"/>
    <s v="C003"/>
    <s v="Enterprise CRM Software"/>
    <s v="Software License"/>
    <n v="2"/>
    <n v="180500"/>
    <n v="80000"/>
    <n v="100500"/>
    <n v="5"/>
    <s v="Completed"/>
    <s v="Kavita Joshi"/>
    <s v="UPI"/>
    <n v="6"/>
    <n v="55.68"/>
    <n v="90250"/>
    <s v="South"/>
    <s v="May"/>
    <n v="5"/>
    <x v="7"/>
  </r>
  <r>
    <s v="ORD1298"/>
    <d v="2024-09-23T00:00:00"/>
    <s v="C016"/>
    <s v="Enterprise CRM Software"/>
    <s v="Software License"/>
    <n v="4"/>
    <n v="323000"/>
    <n v="160000"/>
    <n v="163000"/>
    <n v="15"/>
    <s v="Cancelled"/>
    <s v="Sunita Pillai"/>
    <s v="Cheque"/>
    <n v="3"/>
    <n v="50.46"/>
    <n v="80750"/>
    <s v="South"/>
    <s v="September"/>
    <n v="9"/>
    <x v="22"/>
  </r>
  <r>
    <s v="ORD1299"/>
    <d v="2024-12-26T00:00:00"/>
    <s v="C004"/>
    <s v="Cloud Infrastructure Setup"/>
    <s v="Cloud Services"/>
    <n v="3"/>
    <n v="459000"/>
    <n v="240000"/>
    <n v="219000"/>
    <n v="15"/>
    <s v="Completed"/>
    <s v="Amit Verma"/>
    <s v="Credit Card"/>
    <n v="6"/>
    <n v="47.71"/>
    <n v="153000"/>
    <s v="North"/>
    <s v="December"/>
    <n v="12"/>
    <x v="26"/>
  </r>
  <r>
    <s v="ORD1300"/>
    <d v="2024-12-07T00:00:00"/>
    <s v="C014"/>
    <s v="IT Support &amp; Maintenance"/>
    <s v="IT Support"/>
    <n v="2"/>
    <n v="56000"/>
    <n v="30000"/>
    <n v="26000"/>
    <n v="20"/>
    <s v="Completed"/>
    <s v="Amit Verma"/>
    <s v="Credit Card"/>
    <n v="24"/>
    <n v="46.43"/>
    <n v="28000"/>
    <s v="South"/>
    <s v="December"/>
    <n v="12"/>
    <x v="2"/>
  </r>
  <r>
    <s v="ORD1301"/>
    <d v="2024-12-14T00:00:00"/>
    <s v="C029"/>
    <s v="Cybersecurity Audit"/>
    <s v="Security Services"/>
    <n v="4"/>
    <n v="216000"/>
    <n v="100000"/>
    <n v="116000"/>
    <n v="10"/>
    <s v="Completed"/>
    <s v="Nikhil Gupta"/>
    <s v="Bank Transfer"/>
    <n v="6"/>
    <n v="53.7"/>
    <n v="54000"/>
    <s v="South"/>
    <s v="December"/>
    <n v="12"/>
    <x v="13"/>
  </r>
  <r>
    <s v="ORD1302"/>
    <d v="2024-12-26T00:00:00"/>
    <s v="C026"/>
    <s v="AWS Management Package"/>
    <s v="Cloud Services"/>
    <n v="5"/>
    <n v="600000"/>
    <n v="250000"/>
    <n v="350000"/>
    <n v="0"/>
    <s v="In Progress"/>
    <s v="Amit Verma"/>
    <s v="Cheque"/>
    <n v="12"/>
    <n v="58.33"/>
    <n v="120000"/>
    <s v="North"/>
    <s v="December"/>
    <n v="12"/>
    <x v="17"/>
  </r>
  <r>
    <s v="ORD1303"/>
    <d v="2024-04-10T00:00:00"/>
    <s v="C009"/>
    <s v="Annual AMC Contract"/>
    <s v="IT Support"/>
    <n v="5"/>
    <n v="178500"/>
    <n v="90000"/>
    <n v="88500"/>
    <n v="15"/>
    <s v="Completed"/>
    <s v="Pooja Singh"/>
    <s v="UPI"/>
    <n v="24"/>
    <n v="49.58"/>
    <n v="35700"/>
    <s v="South"/>
    <s v="April"/>
    <n v="4"/>
    <x v="0"/>
  </r>
  <r>
    <s v="ORD1304"/>
    <d v="2024-11-11T00:00:00"/>
    <s v="C028"/>
    <s v="IT Support &amp; Maintenance"/>
    <s v="IT Support"/>
    <n v="5"/>
    <n v="175000"/>
    <n v="75000"/>
    <n v="100000"/>
    <n v="0"/>
    <s v="Cancelled"/>
    <s v="Sandeep Rao"/>
    <s v="Net Banking"/>
    <n v="3"/>
    <n v="57.14"/>
    <n v="35000"/>
    <s v="South"/>
    <s v="November"/>
    <n v="11"/>
    <x v="5"/>
  </r>
  <r>
    <s v="ORD1305"/>
    <d v="2024-10-12T00:00:00"/>
    <s v="C008"/>
    <s v="Data Analytics Dashboard"/>
    <s v="Analytics"/>
    <n v="1"/>
    <n v="100000"/>
    <n v="45000"/>
    <n v="55000"/>
    <n v="0"/>
    <s v="Completed"/>
    <s v="Amit Verma"/>
    <s v="Net Banking"/>
    <n v="24"/>
    <n v="55"/>
    <n v="100000"/>
    <s v="North"/>
    <s v="October"/>
    <n v="10"/>
    <x v="8"/>
  </r>
  <r>
    <s v="ORD1306"/>
    <d v="2024-08-02T00:00:00"/>
    <s v="C019"/>
    <s v="Chatbot Development"/>
    <s v="AI &amp; Automation"/>
    <n v="4"/>
    <n v="520000"/>
    <n v="220000"/>
    <n v="300000"/>
    <n v="0"/>
    <s v="Completed"/>
    <s v="Arjun Mehta"/>
    <s v="Credit Card"/>
    <n v="6"/>
    <n v="57.69"/>
    <n v="130000"/>
    <s v="North"/>
    <s v="August"/>
    <n v="8"/>
    <x v="16"/>
  </r>
  <r>
    <s v="ORD1307"/>
    <d v="2024-10-20T00:00:00"/>
    <s v="C011"/>
    <s v="IT Support &amp; Maintenance"/>
    <s v="IT Support"/>
    <n v="5"/>
    <n v="175000"/>
    <n v="75000"/>
    <n v="100000"/>
    <n v="0"/>
    <s v="Completed"/>
    <s v="Rohit Sharma"/>
    <s v="UPI"/>
    <n v="6"/>
    <n v="57.14"/>
    <n v="35000"/>
    <s v="South"/>
    <s v="October"/>
    <n v="10"/>
    <x v="15"/>
  </r>
  <r>
    <s v="ORD1308"/>
    <d v="2024-04-09T00:00:00"/>
    <s v="C018"/>
    <s v="Network Setup &amp; Config"/>
    <s v="IT Support"/>
    <n v="4"/>
    <n v="197600"/>
    <n v="88000"/>
    <n v="109600"/>
    <n v="5"/>
    <s v="Cancelled"/>
    <s v="Sunita Pillai"/>
    <s v="UPI"/>
    <n v="24"/>
    <n v="55.47"/>
    <n v="49400"/>
    <s v="South"/>
    <s v="April"/>
    <n v="4"/>
    <x v="12"/>
  </r>
  <r>
    <s v="ORD1309"/>
    <d v="2024-12-08T00:00:00"/>
    <s v="C001"/>
    <s v="Penetration Testing"/>
    <s v="Security Services"/>
    <n v="3"/>
    <n v="210000"/>
    <n v="90000"/>
    <n v="120000"/>
    <n v="0"/>
    <s v="Completed"/>
    <s v="Deepa Iyer"/>
    <s v="Net Banking"/>
    <n v="12"/>
    <n v="57.14"/>
    <n v="70000"/>
    <s v="South"/>
    <s v="December"/>
    <n v="12"/>
    <x v="1"/>
  </r>
  <r>
    <s v="ORD1310"/>
    <d v="2024-03-27T00:00:00"/>
    <s v="C019"/>
    <s v="Annual AMC Contract"/>
    <s v="IT Support"/>
    <n v="5"/>
    <n v="189000"/>
    <n v="90000"/>
    <n v="99000"/>
    <n v="10"/>
    <s v="Completed"/>
    <s v="Pooja Singh"/>
    <s v="Bank Transfer"/>
    <n v="12"/>
    <n v="52.38"/>
    <n v="37800"/>
    <s v="North"/>
    <s v="March"/>
    <n v="3"/>
    <x v="16"/>
  </r>
  <r>
    <s v="ORD1311"/>
    <d v="2024-10-05T00:00:00"/>
    <s v="C012"/>
    <s v="Mobile App Development"/>
    <s v="Development"/>
    <n v="1"/>
    <n v="160000"/>
    <n v="85000"/>
    <n v="75000"/>
    <n v="20"/>
    <s v="Cancelled"/>
    <s v="Sunita Pillai"/>
    <s v="Net Banking"/>
    <n v="6"/>
    <n v="46.88"/>
    <n v="160000"/>
    <s v="North"/>
    <s v="October"/>
    <n v="10"/>
    <x v="18"/>
  </r>
  <r>
    <s v="ORD1312"/>
    <d v="2024-12-19T00:00:00"/>
    <s v="C025"/>
    <s v="Penetration Testing"/>
    <s v="Security Services"/>
    <n v="3"/>
    <n v="168000"/>
    <n v="90000"/>
    <n v="78000"/>
    <n v="20"/>
    <s v="Completed"/>
    <s v="Sunita Pillai"/>
    <s v="Cheque"/>
    <n v="12"/>
    <n v="46.43"/>
    <n v="56000"/>
    <s v="North"/>
    <s v="December"/>
    <n v="12"/>
    <x v="3"/>
  </r>
  <r>
    <s v="ORD1313"/>
    <d v="2024-02-14T00:00:00"/>
    <s v="C004"/>
    <s v="Penetration Testing"/>
    <s v="Security Services"/>
    <n v="2"/>
    <n v="112000"/>
    <n v="60000"/>
    <n v="52000"/>
    <n v="20"/>
    <s v="Cancelled"/>
    <s v="Pooja Singh"/>
    <s v="Cheque"/>
    <n v="24"/>
    <n v="46.43"/>
    <n v="56000"/>
    <s v="North"/>
    <s v="February"/>
    <n v="2"/>
    <x v="26"/>
  </r>
  <r>
    <s v="ORD1314"/>
    <d v="2024-03-25T00:00:00"/>
    <s v="C026"/>
    <s v="Cybersecurity Audit"/>
    <s v="Security Services"/>
    <n v="2"/>
    <n v="96000"/>
    <n v="50000"/>
    <n v="46000"/>
    <n v="20"/>
    <s v="Completed"/>
    <s v="Pooja Singh"/>
    <s v="Cheque"/>
    <n v="12"/>
    <n v="47.92"/>
    <n v="48000"/>
    <s v="North"/>
    <s v="March"/>
    <n v="3"/>
    <x v="17"/>
  </r>
  <r>
    <s v="ORD1315"/>
    <d v="2024-11-01T00:00:00"/>
    <s v="C011"/>
    <s v="Data Analytics Dashboard"/>
    <s v="Analytics"/>
    <n v="3"/>
    <n v="270000"/>
    <n v="135000"/>
    <n v="135000"/>
    <n v="10"/>
    <s v="Completed"/>
    <s v="Arjun Mehta"/>
    <s v="Bank Transfer"/>
    <n v="6"/>
    <n v="50"/>
    <n v="90000"/>
    <s v="South"/>
    <s v="November"/>
    <n v="11"/>
    <x v="15"/>
  </r>
  <r>
    <s v="ORD1316"/>
    <d v="2024-07-29T00:00:00"/>
    <s v="C009"/>
    <s v="ERP Implementation"/>
    <s v="Software License"/>
    <n v="2"/>
    <n v="440000"/>
    <n v="180000"/>
    <n v="260000"/>
    <n v="0"/>
    <s v="Completed"/>
    <s v="Kavita Joshi"/>
    <s v="Credit Card"/>
    <n v="24"/>
    <n v="59.09"/>
    <n v="220000"/>
    <s v="South"/>
    <s v="July"/>
    <n v="7"/>
    <x v="0"/>
  </r>
  <r>
    <s v="ORD1317"/>
    <d v="2024-12-16T00:00:00"/>
    <s v="C009"/>
    <s v="RPA Implementation"/>
    <s v="AI &amp; Automation"/>
    <n v="4"/>
    <n v="608000"/>
    <n v="280000"/>
    <n v="328000"/>
    <n v="5"/>
    <s v="Completed"/>
    <s v="Priya Nair"/>
    <s v="UPI"/>
    <n v="12"/>
    <n v="53.95"/>
    <n v="152000"/>
    <s v="South"/>
    <s v="December"/>
    <n v="12"/>
    <x v="0"/>
  </r>
  <r>
    <s v="ORD1318"/>
    <d v="2024-12-21T00:00:00"/>
    <s v="C012"/>
    <s v="IT Support &amp; Maintenance"/>
    <s v="IT Support"/>
    <n v="4"/>
    <n v="133000"/>
    <n v="60000"/>
    <n v="73000"/>
    <n v="5"/>
    <s v="In Progress"/>
    <s v="Rohit Sharma"/>
    <s v="Bank Transfer"/>
    <n v="24"/>
    <n v="54.89"/>
    <n v="33250"/>
    <s v="North"/>
    <s v="December"/>
    <n v="12"/>
    <x v="18"/>
  </r>
  <r>
    <s v="ORD1319"/>
    <d v="2024-11-21T00:00:00"/>
    <s v="C012"/>
    <s v="AWS Management Package"/>
    <s v="Cloud Services"/>
    <n v="5"/>
    <n v="570000"/>
    <n v="250000"/>
    <n v="320000"/>
    <n v="5"/>
    <s v="Completed"/>
    <s v="Nikhil Gupta"/>
    <s v="Credit Card"/>
    <n v="24"/>
    <n v="56.14"/>
    <n v="114000"/>
    <s v="North"/>
    <s v="November"/>
    <n v="11"/>
    <x v="18"/>
  </r>
  <r>
    <s v="ORD1320"/>
    <d v="2024-05-17T00:00:00"/>
    <s v="C010"/>
    <s v="Business Intelligence Report"/>
    <s v="Analytics"/>
    <n v="5"/>
    <n v="292500"/>
    <n v="140000"/>
    <n v="152500"/>
    <n v="10"/>
    <s v="Completed"/>
    <s v="Pooja Singh"/>
    <s v="UPI"/>
    <n v="12"/>
    <n v="52.14"/>
    <n v="58500"/>
    <s v="South"/>
    <s v="May"/>
    <n v="5"/>
    <x v="29"/>
  </r>
  <r>
    <s v="ORD1321"/>
    <d v="2024-12-15T00:00:00"/>
    <s v="C002"/>
    <s v="Enterprise CRM Software"/>
    <s v="Software License"/>
    <n v="4"/>
    <n v="380000"/>
    <n v="160000"/>
    <n v="220000"/>
    <n v="0"/>
    <s v="Completed"/>
    <s v="Amit Verma"/>
    <s v="UPI"/>
    <n v="24"/>
    <n v="57.89"/>
    <n v="95000"/>
    <s v="West"/>
    <s v="December"/>
    <n v="12"/>
    <x v="14"/>
  </r>
  <r>
    <s v="ORD1322"/>
    <d v="2024-01-01T00:00:00"/>
    <s v="C014"/>
    <s v="Cybersecurity Audit"/>
    <s v="Security Services"/>
    <n v="2"/>
    <n v="102000"/>
    <n v="50000"/>
    <n v="52000"/>
    <n v="15"/>
    <s v="Completed"/>
    <s v="Amit Verma"/>
    <s v="Cheque"/>
    <n v="3"/>
    <n v="50.98"/>
    <n v="51000"/>
    <s v="South"/>
    <s v="January"/>
    <n v="1"/>
    <x v="2"/>
  </r>
  <r>
    <s v="ORD1323"/>
    <d v="2024-12-01T00:00:00"/>
    <s v="C003"/>
    <s v="AI/ML Model Development"/>
    <s v="AI &amp; Automation"/>
    <n v="2"/>
    <n v="560000"/>
    <n v="240000"/>
    <n v="320000"/>
    <n v="0"/>
    <s v="Completed"/>
    <s v="Sandeep Rao"/>
    <s v="Credit Card"/>
    <n v="24"/>
    <n v="57.14"/>
    <n v="280000"/>
    <s v="South"/>
    <s v="December"/>
    <n v="12"/>
    <x v="7"/>
  </r>
  <r>
    <s v="ORD1324"/>
    <d v="2024-10-09T00:00:00"/>
    <s v="C001"/>
    <s v="Cybersecurity Audit"/>
    <s v="Security Services"/>
    <n v="4"/>
    <n v="240000"/>
    <n v="100000"/>
    <n v="140000"/>
    <n v="0"/>
    <s v="Completed"/>
    <s v="Pooja Singh"/>
    <s v="Credit Card"/>
    <n v="24"/>
    <n v="58.33"/>
    <n v="60000"/>
    <s v="South"/>
    <s v="October"/>
    <n v="10"/>
    <x v="1"/>
  </r>
  <r>
    <s v="ORD1325"/>
    <d v="2024-11-09T00:00:00"/>
    <s v="C027"/>
    <s v="Enterprise CRM Software"/>
    <s v="Software License"/>
    <n v="4"/>
    <n v="323000"/>
    <n v="160000"/>
    <n v="163000"/>
    <n v="15"/>
    <s v="Completed"/>
    <s v="Sunita Pillai"/>
    <s v="Bank Transfer"/>
    <n v="6"/>
    <n v="50.46"/>
    <n v="80750"/>
    <s v="North"/>
    <s v="November"/>
    <n v="11"/>
    <x v="24"/>
  </r>
  <r>
    <s v="ORD1326"/>
    <d v="2024-10-10T00:00:00"/>
    <s v="C004"/>
    <s v="Business Intelligence Report"/>
    <s v="Analytics"/>
    <n v="3"/>
    <n v="185250"/>
    <n v="84000"/>
    <n v="101250"/>
    <n v="5"/>
    <s v="Completed"/>
    <s v="Nikhil Gupta"/>
    <s v="Credit Card"/>
    <n v="6"/>
    <n v="54.66"/>
    <n v="61750"/>
    <s v="North"/>
    <s v="October"/>
    <n v="10"/>
    <x v="26"/>
  </r>
  <r>
    <s v="ORD1327"/>
    <d v="2024-02-05T00:00:00"/>
    <s v="C001"/>
    <s v="API Integration Service"/>
    <s v="Development"/>
    <n v="2"/>
    <n v="167200"/>
    <n v="76000"/>
    <n v="91200"/>
    <n v="5"/>
    <s v="Completed"/>
    <s v="Deepa Iyer"/>
    <s v="Credit Card"/>
    <n v="24"/>
    <n v="54.55"/>
    <n v="83600"/>
    <s v="South"/>
    <s v="February"/>
    <n v="2"/>
    <x v="1"/>
  </r>
  <r>
    <s v="ORD1328"/>
    <d v="2024-11-11T00:00:00"/>
    <s v="C028"/>
    <s v="Cybersecurity Audit"/>
    <s v="Security Services"/>
    <n v="1"/>
    <n v="60000"/>
    <n v="25000"/>
    <n v="35000"/>
    <n v="0"/>
    <s v="Completed"/>
    <s v="Priya Nair"/>
    <s v="Net Banking"/>
    <n v="24"/>
    <n v="58.33"/>
    <n v="60000"/>
    <s v="South"/>
    <s v="November"/>
    <n v="11"/>
    <x v="5"/>
  </r>
  <r>
    <s v="ORD1329"/>
    <d v="2024-06-28T00:00:00"/>
    <s v="C011"/>
    <s v="ERP Implementation"/>
    <s v="Software License"/>
    <n v="2"/>
    <n v="418000"/>
    <n v="180000"/>
    <n v="238000"/>
    <n v="5"/>
    <s v="Cancelled"/>
    <s v="Priya Nair"/>
    <s v="Credit Card"/>
    <n v="12"/>
    <n v="56.94"/>
    <n v="209000"/>
    <s v="South"/>
    <s v="June"/>
    <n v="6"/>
    <x v="15"/>
  </r>
  <r>
    <s v="ORD1330"/>
    <d v="2024-12-20T00:00:00"/>
    <s v="C029"/>
    <s v="Data Analytics Dashboard"/>
    <s v="Analytics"/>
    <n v="2"/>
    <n v="180000"/>
    <n v="90000"/>
    <n v="90000"/>
    <n v="10"/>
    <s v="In Progress"/>
    <s v="Arjun Mehta"/>
    <s v="Credit Card"/>
    <n v="24"/>
    <n v="50"/>
    <n v="90000"/>
    <s v="South"/>
    <s v="December"/>
    <n v="12"/>
    <x v="13"/>
  </r>
  <r>
    <s v="ORD1331"/>
    <d v="2024-05-31T00:00:00"/>
    <s v="C026"/>
    <s v="Penetration Testing"/>
    <s v="Security Services"/>
    <n v="4"/>
    <n v="266000"/>
    <n v="120000"/>
    <n v="146000"/>
    <n v="5"/>
    <s v="Completed"/>
    <s v="Deepa Iyer"/>
    <s v="UPI"/>
    <n v="3"/>
    <n v="54.89"/>
    <n v="66500"/>
    <s v="North"/>
    <s v="May"/>
    <n v="5"/>
    <x v="17"/>
  </r>
  <r>
    <s v="ORD1332"/>
    <d v="2024-09-27T00:00:00"/>
    <s v="C001"/>
    <s v="AI/ML Model Development"/>
    <s v="AI &amp; Automation"/>
    <n v="3"/>
    <n v="840000"/>
    <n v="360000"/>
    <n v="480000"/>
    <n v="0"/>
    <s v="Completed"/>
    <s v="Pooja Singh"/>
    <s v="UPI"/>
    <n v="12"/>
    <n v="57.14"/>
    <n v="280000"/>
    <s v="South"/>
    <s v="September"/>
    <n v="9"/>
    <x v="1"/>
  </r>
  <r>
    <s v="ORD1333"/>
    <d v="2024-10-06T00:00:00"/>
    <s v="C025"/>
    <s v="Annual AMC Contract"/>
    <s v="IT Support"/>
    <n v="1"/>
    <n v="42000"/>
    <n v="18000"/>
    <n v="24000"/>
    <n v="0"/>
    <s v="In Progress"/>
    <s v="Priya Nair"/>
    <s v="Bank Transfer"/>
    <n v="12"/>
    <n v="57.14"/>
    <n v="42000"/>
    <s v="North"/>
    <s v="October"/>
    <n v="10"/>
    <x v="3"/>
  </r>
  <r>
    <s v="ORD1334"/>
    <d v="2024-10-04T00:00:00"/>
    <s v="C026"/>
    <s v="Chatbot Development"/>
    <s v="AI &amp; Automation"/>
    <n v="5"/>
    <n v="617500"/>
    <n v="275000"/>
    <n v="342500"/>
    <n v="5"/>
    <s v="Cancelled"/>
    <s v="Arjun Mehta"/>
    <s v="UPI"/>
    <n v="24"/>
    <n v="55.47"/>
    <n v="123500"/>
    <s v="North"/>
    <s v="October"/>
    <n v="10"/>
    <x v="17"/>
  </r>
  <r>
    <s v="ORD1335"/>
    <d v="2024-12-25T00:00:00"/>
    <s v="C021"/>
    <s v="Mobile App Development"/>
    <s v="Development"/>
    <n v="5"/>
    <n v="900000"/>
    <n v="425000"/>
    <n v="475000"/>
    <n v="10"/>
    <s v="Completed"/>
    <s v="Sandeep Rao"/>
    <s v="Bank Transfer"/>
    <n v="12"/>
    <n v="52.78"/>
    <n v="180000"/>
    <s v="West"/>
    <s v="December"/>
    <n v="12"/>
    <x v="27"/>
  </r>
  <r>
    <s v="ORD1336"/>
    <d v="2024-02-10T00:00:00"/>
    <s v="C007"/>
    <s v="ERP Implementation"/>
    <s v="Software License"/>
    <n v="5"/>
    <n v="1045000"/>
    <n v="450000"/>
    <n v="595000"/>
    <n v="5"/>
    <s v="Completed"/>
    <s v="Pooja Singh"/>
    <s v="Bank Transfer"/>
    <n v="12"/>
    <n v="56.94"/>
    <n v="209000"/>
    <s v="West"/>
    <s v="February"/>
    <n v="2"/>
    <x v="9"/>
  </r>
  <r>
    <s v="ORD1337"/>
    <d v="2024-12-23T00:00:00"/>
    <s v="C028"/>
    <s v="Penetration Testing"/>
    <s v="Security Services"/>
    <n v="1"/>
    <n v="70000"/>
    <n v="30000"/>
    <n v="40000"/>
    <n v="0"/>
    <s v="Completed"/>
    <s v="Nikhil Gupta"/>
    <s v="Bank Transfer"/>
    <n v="24"/>
    <n v="57.14"/>
    <n v="70000"/>
    <s v="South"/>
    <s v="December"/>
    <n v="12"/>
    <x v="5"/>
  </r>
  <r>
    <s v="ORD1338"/>
    <d v="2024-11-09T00:00:00"/>
    <s v="C010"/>
    <s v="HR Management System"/>
    <s v="Software License"/>
    <n v="1"/>
    <n v="80000"/>
    <n v="35000"/>
    <n v="45000"/>
    <n v="0"/>
    <s v="Cancelled"/>
    <s v="Amit Verma"/>
    <s v="Bank Transfer"/>
    <n v="6"/>
    <n v="56.25"/>
    <n v="80000"/>
    <s v="South"/>
    <s v="November"/>
    <n v="11"/>
    <x v="29"/>
  </r>
  <r>
    <s v="ORD1339"/>
    <d v="2024-09-11T00:00:00"/>
    <s v="C017"/>
    <s v="Network Setup &amp; Config"/>
    <s v="IT Support"/>
    <n v="3"/>
    <n v="156000"/>
    <n v="66000"/>
    <n v="90000"/>
    <n v="0"/>
    <s v="Completed"/>
    <s v="Amit Verma"/>
    <s v="Cheque"/>
    <n v="3"/>
    <n v="57.69"/>
    <n v="52000"/>
    <s v="South"/>
    <s v="September"/>
    <n v="9"/>
    <x v="20"/>
  </r>
  <r>
    <s v="ORD1340"/>
    <d v="2024-01-16T00:00:00"/>
    <s v="C014"/>
    <s v="Firewall &amp; Network Security"/>
    <s v="Security Services"/>
    <n v="5"/>
    <n v="250000"/>
    <n v="100000"/>
    <n v="150000"/>
    <n v="0"/>
    <s v="Completed"/>
    <s v="Pooja Singh"/>
    <s v="Bank Transfer"/>
    <n v="24"/>
    <n v="60"/>
    <n v="50000"/>
    <s v="South"/>
    <s v="January"/>
    <n v="1"/>
    <x v="2"/>
  </r>
  <r>
    <s v="ORD1341"/>
    <d v="2024-08-21T00:00:00"/>
    <s v="C002"/>
    <s v="Annual AMC Contract"/>
    <s v="IT Support"/>
    <n v="5"/>
    <n v="210000"/>
    <n v="90000"/>
    <n v="120000"/>
    <n v="0"/>
    <s v="Completed"/>
    <s v="Amit Verma"/>
    <s v="Cheque"/>
    <n v="3"/>
    <n v="57.14"/>
    <n v="42000"/>
    <s v="West"/>
    <s v="August"/>
    <n v="8"/>
    <x v="14"/>
  </r>
  <r>
    <s v="ORD1342"/>
    <d v="2024-10-20T00:00:00"/>
    <s v="C004"/>
    <s v="Penetration Testing"/>
    <s v="Security Services"/>
    <n v="5"/>
    <n v="350000"/>
    <n v="150000"/>
    <n v="200000"/>
    <n v="0"/>
    <s v="Completed"/>
    <s v="Rohit Sharma"/>
    <s v="Credit Card"/>
    <n v="3"/>
    <n v="57.14"/>
    <n v="70000"/>
    <s v="North"/>
    <s v="October"/>
    <n v="10"/>
    <x v="26"/>
  </r>
  <r>
    <s v="ORD1343"/>
    <d v="2024-08-29T00:00:00"/>
    <s v="C030"/>
    <s v="ERP Implementation"/>
    <s v="Software License"/>
    <n v="2"/>
    <n v="352000"/>
    <n v="180000"/>
    <n v="172000"/>
    <n v="20"/>
    <s v="Completed"/>
    <s v="Arjun Mehta"/>
    <s v="UPI"/>
    <n v="6"/>
    <n v="48.86"/>
    <n v="176000"/>
    <s v="North"/>
    <s v="August"/>
    <n v="8"/>
    <x v="23"/>
  </r>
  <r>
    <s v="ORD1344"/>
    <d v="2024-12-28T00:00:00"/>
    <s v="C011"/>
    <s v="Firewall &amp; Network Security"/>
    <s v="Security Services"/>
    <n v="1"/>
    <n v="45000"/>
    <n v="20000"/>
    <n v="25000"/>
    <n v="10"/>
    <s v="Completed"/>
    <s v="Priya Nair"/>
    <s v="Net Banking"/>
    <n v="3"/>
    <n v="55.56"/>
    <n v="45000"/>
    <s v="South"/>
    <s v="December"/>
    <n v="12"/>
    <x v="15"/>
  </r>
  <r>
    <s v="ORD1345"/>
    <d v="2024-12-02T00:00:00"/>
    <s v="C002"/>
    <s v="Chatbot Development"/>
    <s v="AI &amp; Automation"/>
    <n v="1"/>
    <n v="123500"/>
    <n v="55000"/>
    <n v="68500"/>
    <n v="5"/>
    <s v="Completed"/>
    <s v="Sandeep Rao"/>
    <s v="Cheque"/>
    <n v="3"/>
    <n v="55.47"/>
    <n v="123500"/>
    <s v="West"/>
    <s v="December"/>
    <n v="12"/>
    <x v="14"/>
  </r>
  <r>
    <s v="ORD1346"/>
    <d v="2024-10-10T00:00:00"/>
    <s v="C012"/>
    <s v="Cybersecurity Audit"/>
    <s v="Security Services"/>
    <n v="3"/>
    <n v="162000"/>
    <n v="75000"/>
    <n v="87000"/>
    <n v="10"/>
    <s v="Completed"/>
    <s v="Pooja Singh"/>
    <s v="Credit Card"/>
    <n v="24"/>
    <n v="53.7"/>
    <n v="54000"/>
    <s v="North"/>
    <s v="October"/>
    <n v="10"/>
    <x v="18"/>
  </r>
  <r>
    <s v="ORD1347"/>
    <d v="2024-07-07T00:00:00"/>
    <s v="C016"/>
    <s v="Cybersecurity Audit"/>
    <s v="Security Services"/>
    <n v="5"/>
    <n v="240000"/>
    <n v="125000"/>
    <n v="115000"/>
    <n v="20"/>
    <s v="Completed"/>
    <s v="Amit Verma"/>
    <s v="Bank Transfer"/>
    <n v="24"/>
    <n v="47.92"/>
    <n v="48000"/>
    <s v="South"/>
    <s v="July"/>
    <n v="7"/>
    <x v="22"/>
  </r>
  <r>
    <s v="ORD1348"/>
    <d v="2024-11-10T00:00:00"/>
    <s v="C021"/>
    <s v="Cloud Infrastructure Setup"/>
    <s v="Cloud Services"/>
    <n v="3"/>
    <n v="540000"/>
    <n v="240000"/>
    <n v="300000"/>
    <n v="0"/>
    <s v="Cancelled"/>
    <s v="Nikhil Gupta"/>
    <s v="Cheque"/>
    <n v="3"/>
    <n v="55.56"/>
    <n v="180000"/>
    <s v="West"/>
    <s v="November"/>
    <n v="11"/>
    <x v="27"/>
  </r>
  <r>
    <s v="ORD1349"/>
    <d v="2024-04-15T00:00:00"/>
    <s v="C008"/>
    <s v="RPA Implementation"/>
    <s v="AI &amp; Automation"/>
    <n v="4"/>
    <n v="640000"/>
    <n v="280000"/>
    <n v="360000"/>
    <n v="0"/>
    <s v="Completed"/>
    <s v="Sandeep Rao"/>
    <s v="Bank Transfer"/>
    <n v="3"/>
    <n v="56.25"/>
    <n v="160000"/>
    <s v="North"/>
    <s v="April"/>
    <n v="4"/>
    <x v="8"/>
  </r>
  <r>
    <s v="ORD1350"/>
    <d v="2024-04-28T00:00:00"/>
    <s v="C017"/>
    <s v="RPA Implementation"/>
    <s v="AI &amp; Automation"/>
    <n v="3"/>
    <n v="456000"/>
    <n v="210000"/>
    <n v="246000"/>
    <n v="5"/>
    <s v="Cancelled"/>
    <s v="Priya Nair"/>
    <s v="Net Banking"/>
    <n v="3"/>
    <n v="53.95"/>
    <n v="152000"/>
    <s v="South"/>
    <s v="April"/>
    <n v="4"/>
    <x v="20"/>
  </r>
  <r>
    <s v="ORD1351"/>
    <d v="2024-11-16T00:00:00"/>
    <s v="C003"/>
    <s v="Web Portal Development"/>
    <s v="Development"/>
    <n v="5"/>
    <n v="725000"/>
    <n v="300000"/>
    <n v="425000"/>
    <n v="0"/>
    <s v="Completed"/>
    <s v="Amit Verma"/>
    <s v="Credit Card"/>
    <n v="12"/>
    <n v="58.62"/>
    <n v="145000"/>
    <s v="South"/>
    <s v="November"/>
    <n v="11"/>
    <x v="7"/>
  </r>
  <r>
    <s v="ORD1352"/>
    <d v="2024-05-13T00:00:00"/>
    <s v="C030"/>
    <s v="Chatbot Development"/>
    <s v="AI &amp; Automation"/>
    <n v="3"/>
    <n v="370500"/>
    <n v="165000"/>
    <n v="205500"/>
    <n v="5"/>
    <s v="Completed"/>
    <s v="Sandeep Rao"/>
    <s v="Credit Card"/>
    <n v="3"/>
    <n v="55.47"/>
    <n v="123500"/>
    <s v="North"/>
    <s v="May"/>
    <n v="5"/>
    <x v="23"/>
  </r>
  <r>
    <s v="ORD1353"/>
    <d v="2024-12-10T00:00:00"/>
    <s v="C004"/>
    <s v="ERP Implementation"/>
    <s v="Software License"/>
    <n v="1"/>
    <n v="220000"/>
    <n v="90000"/>
    <n v="130000"/>
    <n v="0"/>
    <s v="Completed"/>
    <s v="Sunita Pillai"/>
    <s v="Cheque"/>
    <n v="24"/>
    <n v="59.09"/>
    <n v="220000"/>
    <s v="North"/>
    <s v="December"/>
    <n v="12"/>
    <x v="26"/>
  </r>
  <r>
    <s v="ORD1354"/>
    <d v="2024-03-02T00:00:00"/>
    <s v="C025"/>
    <s v="Cybersecurity Audit"/>
    <s v="Security Services"/>
    <n v="4"/>
    <n v="228000"/>
    <n v="100000"/>
    <n v="128000"/>
    <n v="5"/>
    <s v="Completed"/>
    <s v="Sandeep Rao"/>
    <s v="Bank Transfer"/>
    <n v="3"/>
    <n v="56.14"/>
    <n v="57000"/>
    <s v="North"/>
    <s v="March"/>
    <n v="3"/>
    <x v="3"/>
  </r>
  <r>
    <s v="ORD1355"/>
    <d v="2024-03-21T00:00:00"/>
    <s v="C010"/>
    <s v="API Integration Service"/>
    <s v="Development"/>
    <n v="1"/>
    <n v="88000"/>
    <n v="38000"/>
    <n v="50000"/>
    <n v="0"/>
    <s v="Completed"/>
    <s v="Amit Verma"/>
    <s v="Bank Transfer"/>
    <n v="6"/>
    <n v="56.82"/>
    <n v="88000"/>
    <s v="South"/>
    <s v="March"/>
    <n v="3"/>
    <x v="29"/>
  </r>
  <r>
    <s v="ORD1356"/>
    <d v="2024-07-01T00:00:00"/>
    <s v="C002"/>
    <s v="Data Analytics Dashboard"/>
    <s v="Analytics"/>
    <n v="3"/>
    <n v="240000"/>
    <n v="135000"/>
    <n v="105000"/>
    <n v="20"/>
    <s v="Completed"/>
    <s v="Rohit Sharma"/>
    <s v="UPI"/>
    <n v="24"/>
    <n v="43.75"/>
    <n v="80000"/>
    <s v="West"/>
    <s v="July"/>
    <n v="7"/>
    <x v="14"/>
  </r>
  <r>
    <s v="ORD1357"/>
    <d v="2024-10-11T00:00:00"/>
    <s v="C008"/>
    <s v="Enterprise CRM Software"/>
    <s v="Software License"/>
    <n v="4"/>
    <n v="380000"/>
    <n v="160000"/>
    <n v="220000"/>
    <n v="0"/>
    <s v="Completed"/>
    <s v="Priya Nair"/>
    <s v="Bank Transfer"/>
    <n v="3"/>
    <n v="57.89"/>
    <n v="95000"/>
    <s v="North"/>
    <s v="October"/>
    <n v="10"/>
    <x v="8"/>
  </r>
  <r>
    <s v="ORD1358"/>
    <d v="2024-11-17T00:00:00"/>
    <s v="C012"/>
    <s v="AWS Management Package"/>
    <s v="Cloud Services"/>
    <n v="5"/>
    <n v="540000"/>
    <n v="250000"/>
    <n v="290000"/>
    <n v="10"/>
    <s v="Completed"/>
    <s v="Priya Nair"/>
    <s v="Bank Transfer"/>
    <n v="3"/>
    <n v="53.7"/>
    <n v="108000"/>
    <s v="North"/>
    <s v="November"/>
    <n v="11"/>
    <x v="18"/>
  </r>
  <r>
    <s v="ORD1359"/>
    <d v="2024-04-11T00:00:00"/>
    <s v="C015"/>
    <s v="ERP Implementation"/>
    <s v="Software License"/>
    <n v="1"/>
    <n v="176000"/>
    <n v="90000"/>
    <n v="86000"/>
    <n v="20"/>
    <s v="Completed"/>
    <s v="Priya Nair"/>
    <s v="Bank Transfer"/>
    <n v="24"/>
    <n v="48.86"/>
    <n v="176000"/>
    <s v="West"/>
    <s v="April"/>
    <n v="4"/>
    <x v="10"/>
  </r>
  <r>
    <s v="ORD1360"/>
    <d v="2024-12-09T00:00:00"/>
    <s v="C014"/>
    <s v="Chatbot Development"/>
    <s v="AI &amp; Automation"/>
    <n v="4"/>
    <n v="520000"/>
    <n v="220000"/>
    <n v="300000"/>
    <n v="0"/>
    <s v="Completed"/>
    <s v="Nikhil Gupta"/>
    <s v="Credit Card"/>
    <n v="12"/>
    <n v="57.69"/>
    <n v="130000"/>
    <s v="South"/>
    <s v="December"/>
    <n v="12"/>
    <x v="2"/>
  </r>
  <r>
    <s v="ORD1361"/>
    <d v="2024-04-19T00:00:00"/>
    <s v="C009"/>
    <s v="Firewall &amp; Network Security"/>
    <s v="Security Services"/>
    <n v="4"/>
    <n v="200000"/>
    <n v="80000"/>
    <n v="120000"/>
    <n v="0"/>
    <s v="Completed"/>
    <s v="Pooja Singh"/>
    <s v="Net Banking"/>
    <n v="6"/>
    <n v="60"/>
    <n v="50000"/>
    <s v="South"/>
    <s v="April"/>
    <n v="4"/>
    <x v="0"/>
  </r>
  <r>
    <s v="ORD1362"/>
    <d v="2024-11-18T00:00:00"/>
    <s v="C029"/>
    <s v="Mobile App Development"/>
    <s v="Development"/>
    <n v="4"/>
    <n v="800000"/>
    <n v="340000"/>
    <n v="460000"/>
    <n v="0"/>
    <s v="Completed"/>
    <s v="Sandeep Rao"/>
    <s v="UPI"/>
    <n v="6"/>
    <n v="57.5"/>
    <n v="200000"/>
    <s v="South"/>
    <s v="November"/>
    <n v="11"/>
    <x v="13"/>
  </r>
  <r>
    <s v="ORD1363"/>
    <d v="2024-12-03T00:00:00"/>
    <s v="C008"/>
    <s v="Mobile App Development"/>
    <s v="Development"/>
    <n v="1"/>
    <n v="190000"/>
    <n v="85000"/>
    <n v="105000"/>
    <n v="5"/>
    <s v="Cancelled"/>
    <s v="Kavita Joshi"/>
    <s v="UPI"/>
    <n v="24"/>
    <n v="55.26"/>
    <n v="190000"/>
    <s v="North"/>
    <s v="December"/>
    <n v="12"/>
    <x v="8"/>
  </r>
  <r>
    <s v="ORD1364"/>
    <d v="2024-06-25T00:00:00"/>
    <s v="C017"/>
    <s v="Business Intelligence Report"/>
    <s v="Analytics"/>
    <n v="4"/>
    <n v="247000"/>
    <n v="112000"/>
    <n v="135000"/>
    <n v="5"/>
    <s v="Completed"/>
    <s v="Rohit Sharma"/>
    <s v="Cheque"/>
    <n v="6"/>
    <n v="54.66"/>
    <n v="61750"/>
    <s v="South"/>
    <s v="June"/>
    <n v="6"/>
    <x v="20"/>
  </r>
  <r>
    <s v="ORD1365"/>
    <d v="2024-01-16T00:00:00"/>
    <s v="C025"/>
    <s v="Firewall &amp; Network Security"/>
    <s v="Security Services"/>
    <n v="1"/>
    <n v="40000"/>
    <n v="20000"/>
    <n v="20000"/>
    <n v="20"/>
    <s v="Completed"/>
    <s v="Arjun Mehta"/>
    <s v="Cheque"/>
    <n v="6"/>
    <n v="50"/>
    <n v="40000"/>
    <s v="North"/>
    <s v="January"/>
    <n v="1"/>
    <x v="3"/>
  </r>
  <r>
    <s v="ORD1366"/>
    <d v="2024-12-20T00:00:00"/>
    <s v="C008"/>
    <s v="Firewall &amp; Network Security"/>
    <s v="Security Services"/>
    <n v="5"/>
    <n v="200000"/>
    <n v="100000"/>
    <n v="100000"/>
    <n v="20"/>
    <s v="Cancelled"/>
    <s v="Rohit Sharma"/>
    <s v="Credit Card"/>
    <n v="24"/>
    <n v="50"/>
    <n v="40000"/>
    <s v="North"/>
    <s v="December"/>
    <n v="12"/>
    <x v="8"/>
  </r>
  <r>
    <s v="ORD1367"/>
    <d v="2024-06-30T00:00:00"/>
    <s v="C028"/>
    <s v="HR Management System"/>
    <s v="Software License"/>
    <n v="2"/>
    <n v="160000"/>
    <n v="70000"/>
    <n v="90000"/>
    <n v="0"/>
    <s v="In Progress"/>
    <s v="Kavita Joshi"/>
    <s v="Cheque"/>
    <n v="3"/>
    <n v="56.25"/>
    <n v="80000"/>
    <s v="South"/>
    <s v="June"/>
    <n v="6"/>
    <x v="5"/>
  </r>
  <r>
    <s v="ORD1368"/>
    <d v="2024-12-26T00:00:00"/>
    <s v="C019"/>
    <s v="Web Portal Development"/>
    <s v="Development"/>
    <n v="2"/>
    <n v="261000"/>
    <n v="120000"/>
    <n v="141000"/>
    <n v="10"/>
    <s v="Completed"/>
    <s v="Sunita Pillai"/>
    <s v="Net Banking"/>
    <n v="12"/>
    <n v="54.02"/>
    <n v="130500"/>
    <s v="North"/>
    <s v="December"/>
    <n v="12"/>
    <x v="16"/>
  </r>
  <r>
    <s v="ORD1369"/>
    <d v="2024-03-30T00:00:00"/>
    <s v="C003"/>
    <s v="Cloud Migration Service"/>
    <s v="Cloud Services"/>
    <n v="2"/>
    <n v="252000"/>
    <n v="120000"/>
    <n v="132000"/>
    <n v="10"/>
    <s v="Completed"/>
    <s v="Rohit Sharma"/>
    <s v="Net Banking"/>
    <n v="24"/>
    <n v="52.38"/>
    <n v="126000"/>
    <s v="South"/>
    <s v="March"/>
    <n v="3"/>
    <x v="7"/>
  </r>
  <r>
    <s v="ORD1370"/>
    <d v="2024-01-01T00:00:00"/>
    <s v="C020"/>
    <s v="Cybersecurity Audit"/>
    <s v="Security Services"/>
    <n v="2"/>
    <n v="114000"/>
    <n v="50000"/>
    <n v="64000"/>
    <n v="5"/>
    <s v="Cancelled"/>
    <s v="Amit Verma"/>
    <s v="Cheque"/>
    <n v="3"/>
    <n v="56.14"/>
    <n v="57000"/>
    <s v="North"/>
    <s v="January"/>
    <n v="1"/>
    <x v="21"/>
  </r>
  <r>
    <s v="ORD1371"/>
    <d v="2024-12-26T00:00:00"/>
    <s v="C030"/>
    <s v="ERP Implementation"/>
    <s v="Software License"/>
    <n v="1"/>
    <n v="176000"/>
    <n v="90000"/>
    <n v="86000"/>
    <n v="20"/>
    <s v="In Progress"/>
    <s v="Kavita Joshi"/>
    <s v="Bank Transfer"/>
    <n v="12"/>
    <n v="48.86"/>
    <n v="176000"/>
    <s v="North"/>
    <s v="December"/>
    <n v="12"/>
    <x v="23"/>
  </r>
  <r>
    <s v="ORD1372"/>
    <d v="2024-12-26T00:00:00"/>
    <s v="C013"/>
    <s v="Web Portal Development"/>
    <s v="Development"/>
    <n v="1"/>
    <n v="137750"/>
    <n v="60000"/>
    <n v="77750"/>
    <n v="5"/>
    <s v="Completed"/>
    <s v="Kavita Joshi"/>
    <s v="Credit Card"/>
    <n v="6"/>
    <n v="56.44"/>
    <n v="137750"/>
    <s v="North"/>
    <s v="December"/>
    <n v="12"/>
    <x v="25"/>
  </r>
  <r>
    <s v="ORD1373"/>
    <d v="2024-08-11T00:00:00"/>
    <s v="C016"/>
    <s v="Business Intelligence Report"/>
    <s v="Analytics"/>
    <n v="2"/>
    <n v="110500"/>
    <n v="56000"/>
    <n v="54500"/>
    <n v="15"/>
    <s v="In Progress"/>
    <s v="Pooja Singh"/>
    <s v="Cheque"/>
    <n v="6"/>
    <n v="49.32"/>
    <n v="55250"/>
    <s v="South"/>
    <s v="August"/>
    <n v="8"/>
    <x v="22"/>
  </r>
  <r>
    <s v="ORD1374"/>
    <d v="2024-12-06T00:00:00"/>
    <s v="C006"/>
    <s v="Chatbot Development"/>
    <s v="AI &amp; Automation"/>
    <n v="3"/>
    <n v="331500"/>
    <n v="165000"/>
    <n v="166500"/>
    <n v="15"/>
    <s v="Cancelled"/>
    <s v="Sandeep Rao"/>
    <s v="Credit Card"/>
    <n v="6"/>
    <n v="50.23"/>
    <n v="110500"/>
    <s v="West"/>
    <s v="December"/>
    <n v="12"/>
    <x v="19"/>
  </r>
  <r>
    <s v="ORD1375"/>
    <d v="2024-01-01T00:00:00"/>
    <s v="C019"/>
    <s v="Chatbot Development"/>
    <s v="AI &amp; Automation"/>
    <n v="5"/>
    <n v="650000"/>
    <n v="275000"/>
    <n v="375000"/>
    <n v="0"/>
    <s v="Completed"/>
    <s v="Pooja Singh"/>
    <s v="Cheque"/>
    <n v="6"/>
    <n v="57.69"/>
    <n v="130000"/>
    <s v="North"/>
    <s v="January"/>
    <n v="1"/>
    <x v="16"/>
  </r>
  <r>
    <s v="ORD1376"/>
    <d v="2024-11-23T00:00:00"/>
    <s v="C030"/>
    <s v="Annual AMC Contract"/>
    <s v="IT Support"/>
    <n v="2"/>
    <n v="79800"/>
    <n v="36000"/>
    <n v="43800"/>
    <n v="5"/>
    <s v="Cancelled"/>
    <s v="Priya Nair"/>
    <s v="Credit Card"/>
    <n v="12"/>
    <n v="54.89"/>
    <n v="39900"/>
    <s v="North"/>
    <s v="November"/>
    <n v="11"/>
    <x v="23"/>
  </r>
  <r>
    <s v="ORD1377"/>
    <d v="2024-10-08T00:00:00"/>
    <s v="C027"/>
    <s v="Business Intelligence Report"/>
    <s v="Analytics"/>
    <n v="4"/>
    <n v="260000"/>
    <n v="112000"/>
    <n v="148000"/>
    <n v="0"/>
    <s v="Completed"/>
    <s v="Deepa Iyer"/>
    <s v="Credit Card"/>
    <n v="3"/>
    <n v="56.92"/>
    <n v="65000"/>
    <s v="North"/>
    <s v="October"/>
    <n v="10"/>
    <x v="24"/>
  </r>
  <r>
    <s v="ORD1378"/>
    <d v="2024-10-10T00:00:00"/>
    <s v="C024"/>
    <s v="Cloud Infrastructure Setup"/>
    <s v="Cloud Services"/>
    <n v="1"/>
    <n v="171000"/>
    <n v="80000"/>
    <n v="91000"/>
    <n v="5"/>
    <s v="Completed"/>
    <s v="Nikhil Gupta"/>
    <s v="Credit Card"/>
    <n v="24"/>
    <n v="53.22"/>
    <n v="171000"/>
    <s v="North"/>
    <s v="October"/>
    <n v="10"/>
    <x v="4"/>
  </r>
  <r>
    <s v="ORD1379"/>
    <d v="2024-09-09T00:00:00"/>
    <s v="C012"/>
    <s v="Mobile App Development"/>
    <s v="Development"/>
    <n v="4"/>
    <n v="800000"/>
    <n v="340000"/>
    <n v="460000"/>
    <n v="0"/>
    <s v="Completed"/>
    <s v="Pooja Singh"/>
    <s v="Credit Card"/>
    <n v="6"/>
    <n v="57.5"/>
    <n v="200000"/>
    <s v="North"/>
    <s v="September"/>
    <n v="9"/>
    <x v="18"/>
  </r>
  <r>
    <s v="ORD1380"/>
    <d v="2024-10-01T00:00:00"/>
    <s v="C010"/>
    <s v="Cloud Infrastructure Setup"/>
    <s v="Cloud Services"/>
    <n v="3"/>
    <n v="513000"/>
    <n v="240000"/>
    <n v="273000"/>
    <n v="5"/>
    <s v="Completed"/>
    <s v="Priya Nair"/>
    <s v="Cheque"/>
    <n v="6"/>
    <n v="53.22"/>
    <n v="171000"/>
    <s v="South"/>
    <s v="October"/>
    <n v="10"/>
    <x v="29"/>
  </r>
  <r>
    <s v="ORD1381"/>
    <d v="2024-10-06T00:00:00"/>
    <s v="C018"/>
    <s v="AWS Management Package"/>
    <s v="Cloud Services"/>
    <n v="3"/>
    <n v="324000"/>
    <n v="150000"/>
    <n v="174000"/>
    <n v="10"/>
    <s v="In Progress"/>
    <s v="Sunita Pillai"/>
    <s v="Bank Transfer"/>
    <n v="24"/>
    <n v="53.7"/>
    <n v="108000"/>
    <s v="South"/>
    <s v="October"/>
    <n v="10"/>
    <x v="12"/>
  </r>
  <r>
    <s v="ORD1382"/>
    <d v="2024-11-21T00:00:00"/>
    <s v="C006"/>
    <s v="Cloud Migration Service"/>
    <s v="Cloud Services"/>
    <n v="1"/>
    <n v="133000"/>
    <n v="60000"/>
    <n v="73000"/>
    <n v="5"/>
    <s v="Completed"/>
    <s v="Deepa Iyer"/>
    <s v="UPI"/>
    <n v="12"/>
    <n v="54.89"/>
    <n v="133000"/>
    <s v="West"/>
    <s v="November"/>
    <n v="11"/>
    <x v="19"/>
  </r>
  <r>
    <s v="ORD1383"/>
    <d v="2024-10-27T00:00:00"/>
    <s v="C004"/>
    <s v="Cloud Migration Service"/>
    <s v="Cloud Services"/>
    <n v="4"/>
    <n v="504000"/>
    <n v="240000"/>
    <n v="264000"/>
    <n v="10"/>
    <s v="In Progress"/>
    <s v="Sunita Pillai"/>
    <s v="Credit Card"/>
    <n v="3"/>
    <n v="52.38"/>
    <n v="126000"/>
    <s v="North"/>
    <s v="October"/>
    <n v="10"/>
    <x v="26"/>
  </r>
  <r>
    <s v="ORD1384"/>
    <d v="2024-10-08T00:00:00"/>
    <s v="C010"/>
    <s v="API Integration Service"/>
    <s v="Development"/>
    <n v="4"/>
    <n v="352000"/>
    <n v="152000"/>
    <n v="200000"/>
    <n v="0"/>
    <s v="Completed"/>
    <s v="Rohit Sharma"/>
    <s v="Credit Card"/>
    <n v="6"/>
    <n v="56.82"/>
    <n v="88000"/>
    <s v="South"/>
    <s v="October"/>
    <n v="10"/>
    <x v="29"/>
  </r>
  <r>
    <s v="ORD1385"/>
    <d v="2024-10-07T00:00:00"/>
    <s v="C016"/>
    <s v="Enterprise CRM Software"/>
    <s v="Software License"/>
    <n v="3"/>
    <n v="228000"/>
    <n v="120000"/>
    <n v="108000"/>
    <n v="20"/>
    <s v="Completed"/>
    <s v="Sunita Pillai"/>
    <s v="UPI"/>
    <n v="12"/>
    <n v="47.37"/>
    <n v="76000"/>
    <s v="South"/>
    <s v="October"/>
    <n v="10"/>
    <x v="22"/>
  </r>
  <r>
    <s v="ORD1386"/>
    <d v="2024-02-16T00:00:00"/>
    <s v="C013"/>
    <s v="HR Management System"/>
    <s v="Software License"/>
    <n v="3"/>
    <n v="228000"/>
    <n v="105000"/>
    <n v="123000"/>
    <n v="5"/>
    <s v="Completed"/>
    <s v="Amit Verma"/>
    <s v="UPI"/>
    <n v="3"/>
    <n v="53.95"/>
    <n v="76000"/>
    <s v="North"/>
    <s v="February"/>
    <n v="2"/>
    <x v="25"/>
  </r>
  <r>
    <s v="ORD1387"/>
    <d v="2024-05-14T00:00:00"/>
    <s v="C009"/>
    <s v="Penetration Testing"/>
    <s v="Security Services"/>
    <n v="3"/>
    <n v="189000"/>
    <n v="90000"/>
    <n v="99000"/>
    <n v="10"/>
    <s v="Completed"/>
    <s v="Amit Verma"/>
    <s v="Bank Transfer"/>
    <n v="3"/>
    <n v="52.38"/>
    <n v="63000"/>
    <s v="South"/>
    <s v="May"/>
    <n v="5"/>
    <x v="0"/>
  </r>
  <r>
    <s v="ORD1388"/>
    <d v="2024-12-08T00:00:00"/>
    <s v="C018"/>
    <s v="RPA Implementation"/>
    <s v="AI &amp; Automation"/>
    <n v="5"/>
    <n v="800000"/>
    <n v="350000"/>
    <n v="450000"/>
    <n v="0"/>
    <s v="In Progress"/>
    <s v="Rohit Sharma"/>
    <s v="UPI"/>
    <n v="24"/>
    <n v="56.25"/>
    <n v="160000"/>
    <s v="South"/>
    <s v="December"/>
    <n v="12"/>
    <x v="12"/>
  </r>
  <r>
    <s v="ORD1389"/>
    <d v="2024-10-01T00:00:00"/>
    <s v="C030"/>
    <s v="Annual AMC Contract"/>
    <s v="IT Support"/>
    <n v="5"/>
    <n v="210000"/>
    <n v="90000"/>
    <n v="120000"/>
    <n v="0"/>
    <s v="Completed"/>
    <s v="Sandeep Rao"/>
    <s v="Bank Transfer"/>
    <n v="24"/>
    <n v="57.14"/>
    <n v="42000"/>
    <s v="North"/>
    <s v="October"/>
    <n v="10"/>
    <x v="23"/>
  </r>
  <r>
    <s v="ORD1390"/>
    <d v="2024-01-18T00:00:00"/>
    <s v="C029"/>
    <s v="Network Setup &amp; Config"/>
    <s v="IT Support"/>
    <n v="5"/>
    <n v="221000"/>
    <n v="110000"/>
    <n v="111000"/>
    <n v="15"/>
    <s v="In Progress"/>
    <s v="Amit Verma"/>
    <s v="Bank Transfer"/>
    <n v="24"/>
    <n v="50.23"/>
    <n v="44200"/>
    <s v="South"/>
    <s v="January"/>
    <n v="1"/>
    <x v="13"/>
  </r>
  <r>
    <s v="ORD1391"/>
    <d v="2024-03-29T00:00:00"/>
    <s v="C006"/>
    <s v="Cybersecurity Audit"/>
    <s v="Security Services"/>
    <n v="2"/>
    <n v="120000"/>
    <n v="50000"/>
    <n v="70000"/>
    <n v="0"/>
    <s v="Completed"/>
    <s v="Nikhil Gupta"/>
    <s v="Bank Transfer"/>
    <n v="24"/>
    <n v="58.33"/>
    <n v="60000"/>
    <s v="West"/>
    <s v="March"/>
    <n v="3"/>
    <x v="19"/>
  </r>
  <r>
    <s v="ORD1392"/>
    <d v="2024-04-13T00:00:00"/>
    <s v="C021"/>
    <s v="ERP Implementation"/>
    <s v="Software License"/>
    <n v="5"/>
    <n v="1045000"/>
    <n v="450000"/>
    <n v="595000"/>
    <n v="5"/>
    <s v="Completed"/>
    <s v="Priya Nair"/>
    <s v="Bank Transfer"/>
    <n v="24"/>
    <n v="56.94"/>
    <n v="209000"/>
    <s v="West"/>
    <s v="April"/>
    <n v="4"/>
    <x v="27"/>
  </r>
  <r>
    <s v="ORD1393"/>
    <d v="2024-10-11T00:00:00"/>
    <s v="C011"/>
    <s v="Firewall &amp; Network Security"/>
    <s v="Security Services"/>
    <n v="5"/>
    <n v="237500"/>
    <n v="100000"/>
    <n v="137500"/>
    <n v="5"/>
    <s v="Completed"/>
    <s v="Pooja Singh"/>
    <s v="Net Banking"/>
    <n v="24"/>
    <n v="57.89"/>
    <n v="47500"/>
    <s v="South"/>
    <s v="October"/>
    <n v="10"/>
    <x v="15"/>
  </r>
  <r>
    <s v="ORD1394"/>
    <d v="2024-02-27T00:00:00"/>
    <s v="C005"/>
    <s v="Web Portal Development"/>
    <s v="Development"/>
    <n v="5"/>
    <n v="652500"/>
    <n v="300000"/>
    <n v="352500"/>
    <n v="10"/>
    <s v="Completed"/>
    <s v="Priya Nair"/>
    <s v="Net Banking"/>
    <n v="3"/>
    <n v="54.02"/>
    <n v="130500"/>
    <s v="West"/>
    <s v="February"/>
    <n v="2"/>
    <x v="11"/>
  </r>
  <r>
    <s v="ORD1395"/>
    <d v="2024-05-26T00:00:00"/>
    <s v="C029"/>
    <s v="AI/ML Model Development"/>
    <s v="AI &amp; Automation"/>
    <n v="4"/>
    <n v="1064000"/>
    <n v="480000"/>
    <n v="584000"/>
    <n v="5"/>
    <s v="Completed"/>
    <s v="Sunita Pillai"/>
    <s v="Net Banking"/>
    <n v="24"/>
    <n v="54.89"/>
    <n v="266000"/>
    <s v="South"/>
    <s v="May"/>
    <n v="5"/>
    <x v="13"/>
  </r>
  <r>
    <s v="ORD1396"/>
    <d v="2024-11-17T00:00:00"/>
    <s v="C005"/>
    <s v="API Integration Service"/>
    <s v="Development"/>
    <n v="5"/>
    <n v="374000"/>
    <n v="190000"/>
    <n v="184000"/>
    <n v="15"/>
    <s v="Cancelled"/>
    <s v="Nikhil Gupta"/>
    <s v="Bank Transfer"/>
    <n v="24"/>
    <n v="49.2"/>
    <n v="74800"/>
    <s v="West"/>
    <s v="November"/>
    <n v="11"/>
    <x v="11"/>
  </r>
  <r>
    <s v="ORD1397"/>
    <d v="2024-06-18T00:00:00"/>
    <s v="C002"/>
    <s v="Annual AMC Contract"/>
    <s v="IT Support"/>
    <n v="3"/>
    <n v="119700"/>
    <n v="54000"/>
    <n v="65700"/>
    <n v="5"/>
    <s v="Completed"/>
    <s v="Kavita Joshi"/>
    <s v="Cheque"/>
    <n v="12"/>
    <n v="54.89"/>
    <n v="39900"/>
    <s v="West"/>
    <s v="June"/>
    <n v="6"/>
    <x v="14"/>
  </r>
  <r>
    <s v="ORD1398"/>
    <d v="2024-05-23T00:00:00"/>
    <s v="C028"/>
    <s v="Enterprise CRM Software"/>
    <s v="Software License"/>
    <n v="2"/>
    <n v="190000"/>
    <n v="80000"/>
    <n v="110000"/>
    <n v="0"/>
    <s v="Completed"/>
    <s v="Sunita Pillai"/>
    <s v="Cheque"/>
    <n v="12"/>
    <n v="57.89"/>
    <n v="95000"/>
    <s v="South"/>
    <s v="May"/>
    <n v="5"/>
    <x v="5"/>
  </r>
  <r>
    <s v="ORD1399"/>
    <d v="2024-08-01T00:00:00"/>
    <s v="C003"/>
    <s v="Cybersecurity Audit"/>
    <s v="Security Services"/>
    <n v="4"/>
    <n v="240000"/>
    <n v="100000"/>
    <n v="140000"/>
    <n v="0"/>
    <s v="Completed"/>
    <s v="Sunita Pillai"/>
    <s v="Net Banking"/>
    <n v="12"/>
    <n v="58.33"/>
    <n v="60000"/>
    <s v="South"/>
    <s v="August"/>
    <n v="8"/>
    <x v="7"/>
  </r>
  <r>
    <s v="ORD1400"/>
    <d v="2024-01-29T00:00:00"/>
    <s v="C006"/>
    <s v="AWS Management Package"/>
    <s v="Cloud Services"/>
    <n v="3"/>
    <n v="306000"/>
    <n v="150000"/>
    <n v="156000"/>
    <n v="15"/>
    <s v="In Progress"/>
    <s v="Nikhil Gupta"/>
    <s v="Credit Card"/>
    <n v="3"/>
    <n v="50.98"/>
    <n v="102000"/>
    <s v="West"/>
    <s v="January"/>
    <n v="1"/>
    <x v="19"/>
  </r>
  <r>
    <s v="ORD1401"/>
    <d v="2024-10-22T00:00:00"/>
    <s v="C027"/>
    <s v="Cloud Migration Service"/>
    <s v="Cloud Services"/>
    <n v="2"/>
    <n v="280000"/>
    <n v="120000"/>
    <n v="160000"/>
    <n v="0"/>
    <s v="Completed"/>
    <s v="Rohit Sharma"/>
    <s v="Cheque"/>
    <n v="6"/>
    <n v="57.14"/>
    <n v="140000"/>
    <s v="North"/>
    <s v="October"/>
    <n v="10"/>
    <x v="24"/>
  </r>
  <r>
    <s v="ORD1402"/>
    <d v="2024-05-20T00:00:00"/>
    <s v="C015"/>
    <s v="Network Setup &amp; Config"/>
    <s v="IT Support"/>
    <n v="4"/>
    <n v="176800"/>
    <n v="88000"/>
    <n v="88800"/>
    <n v="15"/>
    <s v="Completed"/>
    <s v="Rohit Sharma"/>
    <s v="Credit Card"/>
    <n v="12"/>
    <n v="50.23"/>
    <n v="44200"/>
    <s v="West"/>
    <s v="May"/>
    <n v="5"/>
    <x v="10"/>
  </r>
  <r>
    <s v="ORD1403"/>
    <d v="2024-09-07T00:00:00"/>
    <s v="C006"/>
    <s v="Annual AMC Contract"/>
    <s v="IT Support"/>
    <n v="5"/>
    <n v="189000"/>
    <n v="90000"/>
    <n v="99000"/>
    <n v="10"/>
    <s v="Completed"/>
    <s v="Kavita Joshi"/>
    <s v="Credit Card"/>
    <n v="12"/>
    <n v="52.38"/>
    <n v="37800"/>
    <s v="West"/>
    <s v="September"/>
    <n v="9"/>
    <x v="19"/>
  </r>
  <r>
    <s v="ORD1404"/>
    <d v="2024-09-30T00:00:00"/>
    <s v="C013"/>
    <s v="Cloud Migration Service"/>
    <s v="Cloud Services"/>
    <n v="2"/>
    <n v="224000"/>
    <n v="120000"/>
    <n v="104000"/>
    <n v="20"/>
    <s v="In Progress"/>
    <s v="Deepa Iyer"/>
    <s v="Credit Card"/>
    <n v="6"/>
    <n v="46.43"/>
    <n v="112000"/>
    <s v="North"/>
    <s v="September"/>
    <n v="9"/>
    <x v="25"/>
  </r>
  <r>
    <s v="ORD1405"/>
    <d v="2024-12-19T00:00:00"/>
    <s v="C014"/>
    <s v="Network Setup &amp; Config"/>
    <s v="IT Support"/>
    <n v="1"/>
    <n v="41600"/>
    <n v="22000"/>
    <n v="19600"/>
    <n v="20"/>
    <s v="Cancelled"/>
    <s v="Rohit Sharma"/>
    <s v="UPI"/>
    <n v="6"/>
    <n v="47.12"/>
    <n v="41600"/>
    <s v="South"/>
    <s v="December"/>
    <n v="12"/>
    <x v="2"/>
  </r>
  <r>
    <s v="ORD1406"/>
    <d v="2024-09-28T00:00:00"/>
    <s v="C008"/>
    <s v="Firewall &amp; Network Security"/>
    <s v="Security Services"/>
    <n v="5"/>
    <n v="200000"/>
    <n v="100000"/>
    <n v="100000"/>
    <n v="20"/>
    <s v="Completed"/>
    <s v="Sandeep Rao"/>
    <s v="UPI"/>
    <n v="24"/>
    <n v="50"/>
    <n v="40000"/>
    <s v="North"/>
    <s v="September"/>
    <n v="9"/>
    <x v="8"/>
  </r>
  <r>
    <s v="ORD1407"/>
    <d v="2024-06-27T00:00:00"/>
    <s v="C007"/>
    <s v="IT Support &amp; Maintenance"/>
    <s v="IT Support"/>
    <n v="3"/>
    <n v="89250"/>
    <n v="45000"/>
    <n v="44250"/>
    <n v="15"/>
    <s v="In Progress"/>
    <s v="Pooja Singh"/>
    <s v="UPI"/>
    <n v="3"/>
    <n v="49.58"/>
    <n v="29750"/>
    <s v="West"/>
    <s v="June"/>
    <n v="6"/>
    <x v="9"/>
  </r>
  <r>
    <s v="ORD1408"/>
    <d v="2024-01-04T00:00:00"/>
    <s v="C022"/>
    <s v="AI/ML Model Development"/>
    <s v="AI &amp; Automation"/>
    <n v="5"/>
    <n v="1190000"/>
    <n v="600000"/>
    <n v="590000"/>
    <n v="15"/>
    <s v="In Progress"/>
    <s v="Pooja Singh"/>
    <s v="Cheque"/>
    <n v="12"/>
    <n v="49.58"/>
    <n v="238000"/>
    <s v="South"/>
    <s v="January"/>
    <n v="1"/>
    <x v="6"/>
  </r>
  <r>
    <s v="ORD1409"/>
    <d v="2024-10-05T00:00:00"/>
    <s v="C011"/>
    <s v="Firewall &amp; Network Security"/>
    <s v="Security Services"/>
    <n v="3"/>
    <n v="120000"/>
    <n v="60000"/>
    <n v="60000"/>
    <n v="20"/>
    <s v="Completed"/>
    <s v="Sandeep Rao"/>
    <s v="Cheque"/>
    <n v="6"/>
    <n v="50"/>
    <n v="40000"/>
    <s v="South"/>
    <s v="October"/>
    <n v="10"/>
    <x v="15"/>
  </r>
  <r>
    <s v="ORD1410"/>
    <d v="2024-03-17T00:00:00"/>
    <s v="C008"/>
    <s v="Cloud Migration Service"/>
    <s v="Cloud Services"/>
    <n v="5"/>
    <n v="665000"/>
    <n v="300000"/>
    <n v="365000"/>
    <n v="5"/>
    <s v="Cancelled"/>
    <s v="Kavita Joshi"/>
    <s v="Credit Card"/>
    <n v="3"/>
    <n v="54.89"/>
    <n v="133000"/>
    <s v="North"/>
    <s v="March"/>
    <n v="3"/>
    <x v="8"/>
  </r>
  <r>
    <s v="ORD1411"/>
    <d v="2024-12-01T00:00:00"/>
    <s v="C010"/>
    <s v="Firewall &amp; Network Security"/>
    <s v="Security Services"/>
    <n v="4"/>
    <n v="190000"/>
    <n v="80000"/>
    <n v="110000"/>
    <n v="5"/>
    <s v="Completed"/>
    <s v="Rohit Sharma"/>
    <s v="Net Banking"/>
    <n v="6"/>
    <n v="57.89"/>
    <n v="47500"/>
    <s v="South"/>
    <s v="December"/>
    <n v="12"/>
    <x v="29"/>
  </r>
  <r>
    <s v="ORD1412"/>
    <d v="2024-06-24T00:00:00"/>
    <s v="C008"/>
    <s v="Mobile App Development"/>
    <s v="Development"/>
    <n v="4"/>
    <n v="680000"/>
    <n v="340000"/>
    <n v="340000"/>
    <n v="15"/>
    <s v="Completed"/>
    <s v="Arjun Mehta"/>
    <s v="Cheque"/>
    <n v="6"/>
    <n v="50"/>
    <n v="170000"/>
    <s v="North"/>
    <s v="June"/>
    <n v="6"/>
    <x v="8"/>
  </r>
  <r>
    <s v="ORD1413"/>
    <d v="2024-12-02T00:00:00"/>
    <s v="C006"/>
    <s v="Data Analytics Dashboard"/>
    <s v="Analytics"/>
    <n v="1"/>
    <n v="95000"/>
    <n v="45000"/>
    <n v="50000"/>
    <n v="5"/>
    <s v="Completed"/>
    <s v="Sandeep Rao"/>
    <s v="Net Banking"/>
    <n v="6"/>
    <n v="52.63"/>
    <n v="95000"/>
    <s v="West"/>
    <s v="December"/>
    <n v="12"/>
    <x v="19"/>
  </r>
  <r>
    <s v="ORD1414"/>
    <d v="2024-12-14T00:00:00"/>
    <s v="C021"/>
    <s v="AWS Management Package"/>
    <s v="Cloud Services"/>
    <n v="2"/>
    <n v="228000"/>
    <n v="100000"/>
    <n v="128000"/>
    <n v="5"/>
    <s v="Completed"/>
    <s v="Sandeep Rao"/>
    <s v="UPI"/>
    <n v="12"/>
    <n v="56.14"/>
    <n v="114000"/>
    <s v="West"/>
    <s v="December"/>
    <n v="12"/>
    <x v="27"/>
  </r>
  <r>
    <s v="ORD1415"/>
    <d v="2024-11-03T00:00:00"/>
    <s v="C015"/>
    <s v="Enterprise CRM Software"/>
    <s v="Software License"/>
    <n v="4"/>
    <n v="380000"/>
    <n v="160000"/>
    <n v="220000"/>
    <n v="0"/>
    <s v="Cancelled"/>
    <s v="Pooja Singh"/>
    <s v="Net Banking"/>
    <n v="3"/>
    <n v="57.89"/>
    <n v="95000"/>
    <s v="West"/>
    <s v="November"/>
    <n v="11"/>
    <x v="10"/>
  </r>
  <r>
    <s v="ORD1416"/>
    <d v="2024-08-29T00:00:00"/>
    <s v="C017"/>
    <s v="Enterprise CRM Software"/>
    <s v="Software License"/>
    <n v="4"/>
    <n v="342000"/>
    <n v="160000"/>
    <n v="182000"/>
    <n v="10"/>
    <s v="Completed"/>
    <s v="Nikhil Gupta"/>
    <s v="Bank Transfer"/>
    <n v="6"/>
    <n v="53.22"/>
    <n v="85500"/>
    <s v="South"/>
    <s v="August"/>
    <n v="8"/>
    <x v="20"/>
  </r>
  <r>
    <s v="ORD1417"/>
    <d v="2024-03-11T00:00:00"/>
    <s v="C011"/>
    <s v="RPA Implementation"/>
    <s v="AI &amp; Automation"/>
    <n v="5"/>
    <n v="760000"/>
    <n v="350000"/>
    <n v="410000"/>
    <n v="5"/>
    <s v="Completed"/>
    <s v="Kavita Joshi"/>
    <s v="Credit Card"/>
    <n v="3"/>
    <n v="53.95"/>
    <n v="152000"/>
    <s v="South"/>
    <s v="March"/>
    <n v="3"/>
    <x v="15"/>
  </r>
  <r>
    <s v="ORD1418"/>
    <d v="2024-09-06T00:00:00"/>
    <s v="C006"/>
    <s v="Business Intelligence Report"/>
    <s v="Analytics"/>
    <n v="1"/>
    <n v="65000"/>
    <n v="28000"/>
    <n v="37000"/>
    <n v="0"/>
    <s v="Completed"/>
    <s v="Sandeep Rao"/>
    <s v="Credit Card"/>
    <n v="6"/>
    <n v="56.92"/>
    <n v="65000"/>
    <s v="West"/>
    <s v="September"/>
    <n v="9"/>
    <x v="19"/>
  </r>
  <r>
    <s v="ORD1419"/>
    <d v="2024-10-22T00:00:00"/>
    <s v="C016"/>
    <s v="AWS Management Package"/>
    <s v="Cloud Services"/>
    <n v="2"/>
    <n v="216000"/>
    <n v="100000"/>
    <n v="116000"/>
    <n v="10"/>
    <s v="Completed"/>
    <s v="Nikhil Gupta"/>
    <s v="UPI"/>
    <n v="24"/>
    <n v="53.7"/>
    <n v="108000"/>
    <s v="South"/>
    <s v="October"/>
    <n v="10"/>
    <x v="22"/>
  </r>
  <r>
    <s v="ORD1420"/>
    <d v="2024-09-01T00:00:00"/>
    <s v="C002"/>
    <s v="Mobile App Development"/>
    <s v="Development"/>
    <n v="2"/>
    <n v="340000"/>
    <n v="170000"/>
    <n v="170000"/>
    <n v="15"/>
    <s v="Completed"/>
    <s v="Rohit Sharma"/>
    <s v="Cheque"/>
    <n v="6"/>
    <n v="50"/>
    <n v="170000"/>
    <s v="West"/>
    <s v="September"/>
    <n v="9"/>
    <x v="14"/>
  </r>
  <r>
    <s v="ORD1421"/>
    <d v="2024-01-10T00:00:00"/>
    <s v="C021"/>
    <s v="Penetration Testing"/>
    <s v="Security Services"/>
    <n v="2"/>
    <n v="119000"/>
    <n v="60000"/>
    <n v="59000"/>
    <n v="15"/>
    <s v="Completed"/>
    <s v="Sandeep Rao"/>
    <s v="Credit Card"/>
    <n v="3"/>
    <n v="49.58"/>
    <n v="59500"/>
    <s v="West"/>
    <s v="January"/>
    <n v="1"/>
    <x v="27"/>
  </r>
  <r>
    <s v="ORD1422"/>
    <d v="2024-07-15T00:00:00"/>
    <s v="C010"/>
    <s v="HR Management System"/>
    <s v="Software License"/>
    <n v="1"/>
    <n v="64000"/>
    <n v="35000"/>
    <n v="29000"/>
    <n v="20"/>
    <s v="Completed"/>
    <s v="Sandeep Rao"/>
    <s v="Cheque"/>
    <n v="24"/>
    <n v="45.31"/>
    <n v="64000"/>
    <s v="South"/>
    <s v="July"/>
    <n v="7"/>
    <x v="29"/>
  </r>
  <r>
    <s v="ORD1423"/>
    <d v="2024-09-23T00:00:00"/>
    <s v="C011"/>
    <s v="RPA Implementation"/>
    <s v="AI &amp; Automation"/>
    <n v="2"/>
    <n v="304000"/>
    <n v="140000"/>
    <n v="164000"/>
    <n v="5"/>
    <s v="Completed"/>
    <s v="Kavita Joshi"/>
    <s v="Credit Card"/>
    <n v="6"/>
    <n v="53.95"/>
    <n v="152000"/>
    <s v="South"/>
    <s v="September"/>
    <n v="9"/>
    <x v="15"/>
  </r>
  <r>
    <s v="ORD1424"/>
    <d v="2024-10-25T00:00:00"/>
    <s v="C024"/>
    <s v="ERP Implementation"/>
    <s v="Software License"/>
    <n v="2"/>
    <n v="374000"/>
    <n v="180000"/>
    <n v="194000"/>
    <n v="15"/>
    <s v="Completed"/>
    <s v="Pooja Singh"/>
    <s v="Net Banking"/>
    <n v="6"/>
    <n v="51.87"/>
    <n v="187000"/>
    <s v="North"/>
    <s v="October"/>
    <n v="10"/>
    <x v="4"/>
  </r>
  <r>
    <s v="ORD1425"/>
    <d v="2024-03-04T00:00:00"/>
    <s v="C021"/>
    <s v="Cloud Migration Service"/>
    <s v="Cloud Services"/>
    <n v="4"/>
    <n v="476000"/>
    <n v="240000"/>
    <n v="236000"/>
    <n v="15"/>
    <s v="Completed"/>
    <s v="Arjun Mehta"/>
    <s v="Net Banking"/>
    <n v="3"/>
    <n v="49.58"/>
    <n v="119000"/>
    <s v="West"/>
    <s v="March"/>
    <n v="3"/>
    <x v="27"/>
  </r>
  <r>
    <s v="ORD1426"/>
    <d v="2024-10-31T00:00:00"/>
    <s v="C022"/>
    <s v="Enterprise CRM Software"/>
    <s v="Software License"/>
    <n v="1"/>
    <n v="95000"/>
    <n v="40000"/>
    <n v="55000"/>
    <n v="0"/>
    <s v="Cancelled"/>
    <s v="Priya Nair"/>
    <s v="UPI"/>
    <n v="24"/>
    <n v="57.89"/>
    <n v="95000"/>
    <s v="South"/>
    <s v="October"/>
    <n v="10"/>
    <x v="6"/>
  </r>
  <r>
    <s v="ORD1427"/>
    <d v="2024-10-29T00:00:00"/>
    <s v="C016"/>
    <s v="ERP Implementation"/>
    <s v="Software License"/>
    <n v="2"/>
    <n v="374000"/>
    <n v="180000"/>
    <n v="194000"/>
    <n v="15"/>
    <s v="Cancelled"/>
    <s v="Rohit Sharma"/>
    <s v="Cheque"/>
    <n v="24"/>
    <n v="51.87"/>
    <n v="187000"/>
    <s v="South"/>
    <s v="October"/>
    <n v="10"/>
    <x v="22"/>
  </r>
  <r>
    <s v="ORD1428"/>
    <d v="2024-12-02T00:00:00"/>
    <s v="C009"/>
    <s v="API Integration Service"/>
    <s v="Development"/>
    <n v="5"/>
    <n v="374000"/>
    <n v="190000"/>
    <n v="184000"/>
    <n v="15"/>
    <s v="Completed"/>
    <s v="Nikhil Gupta"/>
    <s v="Bank Transfer"/>
    <n v="3"/>
    <n v="49.2"/>
    <n v="74800"/>
    <s v="South"/>
    <s v="December"/>
    <n v="12"/>
    <x v="0"/>
  </r>
  <r>
    <s v="ORD1429"/>
    <d v="2024-10-10T00:00:00"/>
    <s v="C016"/>
    <s v="Cybersecurity Audit"/>
    <s v="Security Services"/>
    <n v="5"/>
    <n v="300000"/>
    <n v="125000"/>
    <n v="175000"/>
    <n v="0"/>
    <s v="Completed"/>
    <s v="Arjun Mehta"/>
    <s v="Credit Card"/>
    <n v="12"/>
    <n v="58.33"/>
    <n v="60000"/>
    <s v="South"/>
    <s v="October"/>
    <n v="10"/>
    <x v="22"/>
  </r>
  <r>
    <s v="ORD1430"/>
    <d v="2024-12-26T00:00:00"/>
    <s v="C006"/>
    <s v="Cloud Migration Service"/>
    <s v="Cloud Services"/>
    <n v="5"/>
    <n v="665000"/>
    <n v="300000"/>
    <n v="365000"/>
    <n v="5"/>
    <s v="Completed"/>
    <s v="Sunita Pillai"/>
    <s v="Cheque"/>
    <n v="6"/>
    <n v="54.89"/>
    <n v="133000"/>
    <s v="West"/>
    <s v="December"/>
    <n v="12"/>
    <x v="19"/>
  </r>
  <r>
    <s v="ORD1431"/>
    <d v="2024-10-08T00:00:00"/>
    <s v="C030"/>
    <s v="Enterprise CRM Software"/>
    <s v="Software License"/>
    <n v="5"/>
    <n v="403750"/>
    <n v="200000"/>
    <n v="203750"/>
    <n v="15"/>
    <s v="Completed"/>
    <s v="Amit Verma"/>
    <s v="Bank Transfer"/>
    <n v="3"/>
    <n v="50.46"/>
    <n v="80750"/>
    <s v="North"/>
    <s v="October"/>
    <n v="10"/>
    <x v="23"/>
  </r>
  <r>
    <s v="ORD1432"/>
    <d v="2024-02-21T00:00:00"/>
    <s v="C021"/>
    <s v="Penetration Testing"/>
    <s v="Security Services"/>
    <n v="4"/>
    <n v="266000"/>
    <n v="120000"/>
    <n v="146000"/>
    <n v="5"/>
    <s v="Completed"/>
    <s v="Sunita Pillai"/>
    <s v="Bank Transfer"/>
    <n v="3"/>
    <n v="54.89"/>
    <n v="66500"/>
    <s v="West"/>
    <s v="February"/>
    <n v="2"/>
    <x v="27"/>
  </r>
  <r>
    <s v="ORD1433"/>
    <d v="2024-03-30T00:00:00"/>
    <s v="C028"/>
    <s v="Data Analytics Dashboard"/>
    <s v="Analytics"/>
    <n v="3"/>
    <n v="240000"/>
    <n v="135000"/>
    <n v="105000"/>
    <n v="20"/>
    <s v="Cancelled"/>
    <s v="Kavita Joshi"/>
    <s v="UPI"/>
    <n v="3"/>
    <n v="43.75"/>
    <n v="80000"/>
    <s v="South"/>
    <s v="March"/>
    <n v="3"/>
    <x v="5"/>
  </r>
  <r>
    <s v="ORD1434"/>
    <d v="2024-02-18T00:00:00"/>
    <s v="C029"/>
    <s v="Cloud Migration Service"/>
    <s v="Cloud Services"/>
    <n v="1"/>
    <n v="112000"/>
    <n v="60000"/>
    <n v="52000"/>
    <n v="20"/>
    <s v="Completed"/>
    <s v="Amit Verma"/>
    <s v="Cheque"/>
    <n v="12"/>
    <n v="46.43"/>
    <n v="112000"/>
    <s v="South"/>
    <s v="February"/>
    <n v="2"/>
    <x v="13"/>
  </r>
  <r>
    <s v="ORD1435"/>
    <d v="2024-08-12T00:00:00"/>
    <s v="C009"/>
    <s v="AWS Management Package"/>
    <s v="Cloud Services"/>
    <n v="3"/>
    <n v="288000"/>
    <n v="150000"/>
    <n v="138000"/>
    <n v="20"/>
    <s v="Completed"/>
    <s v="Amit Verma"/>
    <s v="Bank Transfer"/>
    <n v="24"/>
    <n v="47.92"/>
    <n v="96000"/>
    <s v="South"/>
    <s v="August"/>
    <n v="8"/>
    <x v="0"/>
  </r>
  <r>
    <s v="ORD1436"/>
    <d v="2024-07-23T00:00:00"/>
    <s v="C009"/>
    <s v="Chatbot Development"/>
    <s v="AI &amp; Automation"/>
    <n v="4"/>
    <n v="416000"/>
    <n v="220000"/>
    <n v="196000"/>
    <n v="20"/>
    <s v="Completed"/>
    <s v="Amit Verma"/>
    <s v="Bank Transfer"/>
    <n v="6"/>
    <n v="47.12"/>
    <n v="104000"/>
    <s v="South"/>
    <s v="July"/>
    <n v="7"/>
    <x v="0"/>
  </r>
  <r>
    <s v="ORD1437"/>
    <d v="2024-12-22T00:00:00"/>
    <s v="C028"/>
    <s v="HR Management System"/>
    <s v="Software License"/>
    <n v="1"/>
    <n v="76000"/>
    <n v="35000"/>
    <n v="41000"/>
    <n v="5"/>
    <s v="In Progress"/>
    <s v="Sunita Pillai"/>
    <s v="Net Banking"/>
    <n v="24"/>
    <n v="53.95"/>
    <n v="76000"/>
    <s v="South"/>
    <s v="December"/>
    <n v="12"/>
    <x v="5"/>
  </r>
  <r>
    <s v="ORD1438"/>
    <d v="2024-04-02T00:00:00"/>
    <s v="C025"/>
    <s v="AI/ML Model Development"/>
    <s v="AI &amp; Automation"/>
    <n v="5"/>
    <n v="1400000"/>
    <n v="600000"/>
    <n v="800000"/>
    <n v="0"/>
    <s v="Cancelled"/>
    <s v="Amit Verma"/>
    <s v="UPI"/>
    <n v="24"/>
    <n v="57.14"/>
    <n v="280000"/>
    <s v="North"/>
    <s v="April"/>
    <n v="4"/>
    <x v="3"/>
  </r>
  <r>
    <s v="ORD1439"/>
    <d v="2024-02-27T00:00:00"/>
    <s v="C015"/>
    <s v="Cloud Migration Service"/>
    <s v="Cloud Services"/>
    <n v="1"/>
    <n v="133000"/>
    <n v="60000"/>
    <n v="73000"/>
    <n v="5"/>
    <s v="Cancelled"/>
    <s v="Kavita Joshi"/>
    <s v="Bank Transfer"/>
    <n v="6"/>
    <n v="54.89"/>
    <n v="133000"/>
    <s v="West"/>
    <s v="February"/>
    <n v="2"/>
    <x v="10"/>
  </r>
  <r>
    <s v="ORD1440"/>
    <d v="2024-12-08T00:00:00"/>
    <s v="C017"/>
    <s v="Network Setup &amp; Config"/>
    <s v="IT Support"/>
    <n v="5"/>
    <n v="260000"/>
    <n v="110000"/>
    <n v="150000"/>
    <n v="0"/>
    <s v="Completed"/>
    <s v="Deepa Iyer"/>
    <s v="UPI"/>
    <n v="12"/>
    <n v="57.69"/>
    <n v="52000"/>
    <s v="South"/>
    <s v="December"/>
    <n v="12"/>
    <x v="20"/>
  </r>
  <r>
    <s v="ORD1441"/>
    <d v="2024-12-05T00:00:00"/>
    <s v="C013"/>
    <s v="ERP Implementation"/>
    <s v="Software License"/>
    <n v="5"/>
    <n v="990000"/>
    <n v="450000"/>
    <n v="540000"/>
    <n v="10"/>
    <s v="Completed"/>
    <s v="Rohit Sharma"/>
    <s v="Credit Card"/>
    <n v="24"/>
    <n v="54.55"/>
    <n v="198000"/>
    <s v="North"/>
    <s v="December"/>
    <n v="12"/>
    <x v="25"/>
  </r>
  <r>
    <s v="ORD1442"/>
    <d v="2024-09-10T00:00:00"/>
    <s v="C003"/>
    <s v="Annual AMC Contract"/>
    <s v="IT Support"/>
    <n v="3"/>
    <n v="126000"/>
    <n v="54000"/>
    <n v="72000"/>
    <n v="0"/>
    <s v="Completed"/>
    <s v="Sandeep Rao"/>
    <s v="Bank Transfer"/>
    <n v="6"/>
    <n v="57.14"/>
    <n v="42000"/>
    <s v="South"/>
    <s v="September"/>
    <n v="9"/>
    <x v="7"/>
  </r>
  <r>
    <s v="ORD1443"/>
    <d v="2024-10-08T00:00:00"/>
    <s v="C013"/>
    <s v="Penetration Testing"/>
    <s v="Security Services"/>
    <n v="1"/>
    <n v="66500"/>
    <n v="30000"/>
    <n v="36500"/>
    <n v="5"/>
    <s v="Completed"/>
    <s v="Pooja Singh"/>
    <s v="UPI"/>
    <n v="3"/>
    <n v="54.89"/>
    <n v="66500"/>
    <s v="North"/>
    <s v="October"/>
    <n v="10"/>
    <x v="25"/>
  </r>
  <r>
    <s v="ORD1444"/>
    <d v="2024-09-12T00:00:00"/>
    <s v="C004"/>
    <s v="Annual AMC Contract"/>
    <s v="IT Support"/>
    <n v="1"/>
    <n v="42000"/>
    <n v="18000"/>
    <n v="24000"/>
    <n v="0"/>
    <s v="Completed"/>
    <s v="Nikhil Gupta"/>
    <s v="Bank Transfer"/>
    <n v="3"/>
    <n v="57.14"/>
    <n v="42000"/>
    <s v="North"/>
    <s v="September"/>
    <n v="9"/>
    <x v="26"/>
  </r>
  <r>
    <s v="ORD1445"/>
    <d v="2024-02-16T00:00:00"/>
    <s v="C020"/>
    <s v="Data Analytics Dashboard"/>
    <s v="Analytics"/>
    <n v="5"/>
    <n v="450000"/>
    <n v="225000"/>
    <n v="225000"/>
    <n v="10"/>
    <s v="Completed"/>
    <s v="Sunita Pillai"/>
    <s v="Cheque"/>
    <n v="12"/>
    <n v="50"/>
    <n v="90000"/>
    <s v="North"/>
    <s v="February"/>
    <n v="2"/>
    <x v="21"/>
  </r>
  <r>
    <s v="ORD1446"/>
    <d v="2024-01-28T00:00:00"/>
    <s v="C028"/>
    <s v="IT Support &amp; Maintenance"/>
    <s v="IT Support"/>
    <n v="3"/>
    <n v="94500"/>
    <n v="45000"/>
    <n v="49500"/>
    <n v="10"/>
    <s v="In Progress"/>
    <s v="Pooja Singh"/>
    <s v="UPI"/>
    <n v="12"/>
    <n v="52.38"/>
    <n v="31500"/>
    <s v="South"/>
    <s v="January"/>
    <n v="1"/>
    <x v="5"/>
  </r>
  <r>
    <s v="ORD1447"/>
    <d v="2024-12-20T00:00:00"/>
    <s v="C008"/>
    <s v="Cloud Infrastructure Setup"/>
    <s v="Cloud Services"/>
    <n v="3"/>
    <n v="513000"/>
    <n v="240000"/>
    <n v="273000"/>
    <n v="5"/>
    <s v="Cancelled"/>
    <s v="Sandeep Rao"/>
    <s v="Net Banking"/>
    <n v="12"/>
    <n v="53.22"/>
    <n v="171000"/>
    <s v="North"/>
    <s v="December"/>
    <n v="12"/>
    <x v="8"/>
  </r>
  <r>
    <s v="ORD1448"/>
    <d v="2024-10-18T00:00:00"/>
    <s v="C016"/>
    <s v="ERP Implementation"/>
    <s v="Software License"/>
    <n v="4"/>
    <n v="880000"/>
    <n v="360000"/>
    <n v="520000"/>
    <n v="0"/>
    <s v="Completed"/>
    <s v="Pooja Singh"/>
    <s v="Credit Card"/>
    <n v="6"/>
    <n v="59.09"/>
    <n v="220000"/>
    <s v="South"/>
    <s v="October"/>
    <n v="10"/>
    <x v="22"/>
  </r>
  <r>
    <s v="ORD1449"/>
    <d v="2024-03-02T00:00:00"/>
    <s v="C013"/>
    <s v="Cybersecurity Audit"/>
    <s v="Security Services"/>
    <n v="4"/>
    <n v="192000"/>
    <n v="100000"/>
    <n v="92000"/>
    <n v="20"/>
    <s v="Completed"/>
    <s v="Kavita Joshi"/>
    <s v="Bank Transfer"/>
    <n v="24"/>
    <n v="47.92"/>
    <n v="48000"/>
    <s v="North"/>
    <s v="March"/>
    <n v="3"/>
    <x v="25"/>
  </r>
  <r>
    <s v="ORD1450"/>
    <d v="2024-01-24T00:00:00"/>
    <s v="C027"/>
    <s v="Web Portal Development"/>
    <s v="Development"/>
    <n v="1"/>
    <n v="116000"/>
    <n v="60000"/>
    <n v="56000"/>
    <n v="20"/>
    <s v="Completed"/>
    <s v="Sunita Pillai"/>
    <s v="Net Banking"/>
    <n v="6"/>
    <n v="48.28"/>
    <n v="116000"/>
    <s v="North"/>
    <s v="January"/>
    <n v="1"/>
    <x v="24"/>
  </r>
  <r>
    <s v="ORD1451"/>
    <d v="2024-12-30T00:00:00"/>
    <s v="C002"/>
    <s v="Mobile App Development"/>
    <s v="Development"/>
    <n v="4"/>
    <n v="640000"/>
    <n v="340000"/>
    <n v="300000"/>
    <n v="20"/>
    <s v="In Progress"/>
    <s v="Sunita Pillai"/>
    <s v="Net Banking"/>
    <n v="6"/>
    <n v="46.88"/>
    <n v="160000"/>
    <s v="West"/>
    <s v="December"/>
    <n v="12"/>
    <x v="14"/>
  </r>
  <r>
    <s v="ORD1452"/>
    <d v="2024-12-20T00:00:00"/>
    <s v="C024"/>
    <s v="ERP Implementation"/>
    <s v="Software License"/>
    <n v="1"/>
    <n v="209000"/>
    <n v="90000"/>
    <n v="119000"/>
    <n v="5"/>
    <s v="Cancelled"/>
    <s v="Pooja Singh"/>
    <s v="Net Banking"/>
    <n v="12"/>
    <n v="56.94"/>
    <n v="209000"/>
    <s v="North"/>
    <s v="December"/>
    <n v="12"/>
    <x v="4"/>
  </r>
  <r>
    <s v="ORD1453"/>
    <d v="2024-09-15T00:00:00"/>
    <s v="C014"/>
    <s v="API Integration Service"/>
    <s v="Development"/>
    <n v="2"/>
    <n v="167200"/>
    <n v="76000"/>
    <n v="91200"/>
    <n v="5"/>
    <s v="Completed"/>
    <s v="Kavita Joshi"/>
    <s v="Cheque"/>
    <n v="24"/>
    <n v="54.55"/>
    <n v="83600"/>
    <s v="South"/>
    <s v="September"/>
    <n v="9"/>
    <x v="2"/>
  </r>
  <r>
    <s v="ORD1454"/>
    <d v="2024-12-13T00:00:00"/>
    <s v="C023"/>
    <s v="Network Setup &amp; Config"/>
    <s v="IT Support"/>
    <n v="3"/>
    <n v="124800"/>
    <n v="66000"/>
    <n v="58800"/>
    <n v="20"/>
    <s v="Cancelled"/>
    <s v="Arjun Mehta"/>
    <s v="Cheque"/>
    <n v="6"/>
    <n v="47.12"/>
    <n v="41600"/>
    <s v="South"/>
    <s v="December"/>
    <n v="12"/>
    <x v="28"/>
  </r>
  <r>
    <s v="ORD1455"/>
    <d v="2024-12-27T00:00:00"/>
    <s v="C010"/>
    <s v="AI/ML Model Development"/>
    <s v="AI &amp; Automation"/>
    <n v="2"/>
    <n v="476000"/>
    <n v="240000"/>
    <n v="236000"/>
    <n v="15"/>
    <s v="Cancelled"/>
    <s v="Amit Verma"/>
    <s v="Net Banking"/>
    <n v="12"/>
    <n v="49.58"/>
    <n v="238000"/>
    <s v="South"/>
    <s v="December"/>
    <n v="12"/>
    <x v="29"/>
  </r>
  <r>
    <s v="ORD1456"/>
    <d v="2024-11-11T00:00:00"/>
    <s v="C018"/>
    <s v="Annual AMC Contract"/>
    <s v="IT Support"/>
    <n v="5"/>
    <n v="189000"/>
    <n v="90000"/>
    <n v="99000"/>
    <n v="10"/>
    <s v="Cancelled"/>
    <s v="Nikhil Gupta"/>
    <s v="Net Banking"/>
    <n v="12"/>
    <n v="52.38"/>
    <n v="37800"/>
    <s v="South"/>
    <s v="November"/>
    <n v="11"/>
    <x v="12"/>
  </r>
  <r>
    <s v="ORD1457"/>
    <d v="2024-08-04T00:00:00"/>
    <s v="C017"/>
    <s v="Enterprise CRM Software"/>
    <s v="Software License"/>
    <n v="1"/>
    <n v="90250"/>
    <n v="40000"/>
    <n v="50250"/>
    <n v="5"/>
    <s v="Completed"/>
    <s v="Rohit Sharma"/>
    <s v="Bank Transfer"/>
    <n v="6"/>
    <n v="55.68"/>
    <n v="90250"/>
    <s v="South"/>
    <s v="August"/>
    <n v="8"/>
    <x v="20"/>
  </r>
  <r>
    <s v="ORD1458"/>
    <d v="2024-05-16T00:00:00"/>
    <s v="C006"/>
    <s v="Data Analytics Dashboard"/>
    <s v="Analytics"/>
    <n v="3"/>
    <n v="300000"/>
    <n v="135000"/>
    <n v="165000"/>
    <n v="0"/>
    <s v="Completed"/>
    <s v="Sandeep Rao"/>
    <s v="Credit Card"/>
    <n v="3"/>
    <n v="55"/>
    <n v="100000"/>
    <s v="West"/>
    <s v="May"/>
    <n v="5"/>
    <x v="19"/>
  </r>
  <r>
    <s v="ORD1459"/>
    <d v="2024-07-02T00:00:00"/>
    <s v="C004"/>
    <s v="API Integration Service"/>
    <s v="Development"/>
    <n v="5"/>
    <n v="352000"/>
    <n v="190000"/>
    <n v="162000"/>
    <n v="20"/>
    <s v="Completed"/>
    <s v="Arjun Mehta"/>
    <s v="UPI"/>
    <n v="6"/>
    <n v="46.02"/>
    <n v="70400"/>
    <s v="North"/>
    <s v="July"/>
    <n v="7"/>
    <x v="26"/>
  </r>
  <r>
    <s v="ORD1460"/>
    <d v="2024-09-18T00:00:00"/>
    <s v="C026"/>
    <s v="Data Analytics Dashboard"/>
    <s v="Analytics"/>
    <n v="1"/>
    <n v="95000"/>
    <n v="45000"/>
    <n v="50000"/>
    <n v="5"/>
    <s v="Completed"/>
    <s v="Nikhil Gupta"/>
    <s v="Cheque"/>
    <n v="3"/>
    <n v="52.63"/>
    <n v="95000"/>
    <s v="North"/>
    <s v="September"/>
    <n v="9"/>
    <x v="17"/>
  </r>
  <r>
    <s v="ORD1461"/>
    <d v="2024-01-07T00:00:00"/>
    <s v="C007"/>
    <s v="API Integration Service"/>
    <s v="Development"/>
    <n v="4"/>
    <n v="281600"/>
    <n v="152000"/>
    <n v="129600"/>
    <n v="20"/>
    <s v="Completed"/>
    <s v="Kavita Joshi"/>
    <s v="Net Banking"/>
    <n v="6"/>
    <n v="46.02"/>
    <n v="70400"/>
    <s v="West"/>
    <s v="January"/>
    <n v="1"/>
    <x v="9"/>
  </r>
  <r>
    <s v="ORD1462"/>
    <d v="2024-10-19T00:00:00"/>
    <s v="C022"/>
    <s v="AWS Management Package"/>
    <s v="Cloud Services"/>
    <n v="2"/>
    <n v="240000"/>
    <n v="100000"/>
    <n v="140000"/>
    <n v="0"/>
    <s v="Cancelled"/>
    <s v="Arjun Mehta"/>
    <s v="Bank Transfer"/>
    <n v="24"/>
    <n v="58.33"/>
    <n v="120000"/>
    <s v="South"/>
    <s v="October"/>
    <n v="10"/>
    <x v="6"/>
  </r>
  <r>
    <s v="ORD1463"/>
    <d v="2024-01-21T00:00:00"/>
    <s v="C018"/>
    <s v="Firewall &amp; Network Security"/>
    <s v="Security Services"/>
    <n v="2"/>
    <n v="100000"/>
    <n v="40000"/>
    <n v="60000"/>
    <n v="0"/>
    <s v="In Progress"/>
    <s v="Sandeep Rao"/>
    <s v="Bank Transfer"/>
    <n v="12"/>
    <n v="60"/>
    <n v="50000"/>
    <s v="South"/>
    <s v="January"/>
    <n v="1"/>
    <x v="12"/>
  </r>
  <r>
    <s v="ORD1464"/>
    <d v="2024-08-26T00:00:00"/>
    <s v="C005"/>
    <s v="Cloud Migration Service"/>
    <s v="Cloud Services"/>
    <n v="2"/>
    <n v="266000"/>
    <n v="120000"/>
    <n v="146000"/>
    <n v="5"/>
    <s v="In Progress"/>
    <s v="Rohit Sharma"/>
    <s v="Net Banking"/>
    <n v="12"/>
    <n v="54.89"/>
    <n v="133000"/>
    <s v="West"/>
    <s v="August"/>
    <n v="8"/>
    <x v="11"/>
  </r>
  <r>
    <s v="ORD1465"/>
    <d v="2024-09-08T00:00:00"/>
    <s v="C018"/>
    <s v="AI/ML Model Development"/>
    <s v="AI &amp; Automation"/>
    <n v="1"/>
    <n v="224000"/>
    <n v="120000"/>
    <n v="104000"/>
    <n v="20"/>
    <s v="Cancelled"/>
    <s v="Kavita Joshi"/>
    <s v="Net Banking"/>
    <n v="6"/>
    <n v="46.43"/>
    <n v="224000"/>
    <s v="South"/>
    <s v="September"/>
    <n v="9"/>
    <x v="12"/>
  </r>
  <r>
    <s v="ORD1466"/>
    <d v="2024-04-04T00:00:00"/>
    <s v="C026"/>
    <s v="Network Setup &amp; Config"/>
    <s v="IT Support"/>
    <n v="2"/>
    <n v="98800"/>
    <n v="44000"/>
    <n v="54800"/>
    <n v="5"/>
    <s v="In Progress"/>
    <s v="Arjun Mehta"/>
    <s v="UPI"/>
    <n v="3"/>
    <n v="55.47"/>
    <n v="49400"/>
    <s v="North"/>
    <s v="April"/>
    <n v="4"/>
    <x v="17"/>
  </r>
  <r>
    <s v="ORD1467"/>
    <d v="2024-10-24T00:00:00"/>
    <s v="C022"/>
    <s v="Business Intelligence Report"/>
    <s v="Analytics"/>
    <n v="3"/>
    <n v="185250"/>
    <n v="84000"/>
    <n v="101250"/>
    <n v="5"/>
    <s v="Completed"/>
    <s v="Deepa Iyer"/>
    <s v="Net Banking"/>
    <n v="24"/>
    <n v="54.66"/>
    <n v="61750"/>
    <s v="South"/>
    <s v="October"/>
    <n v="10"/>
    <x v="6"/>
  </r>
  <r>
    <s v="ORD1468"/>
    <d v="2024-10-14T00:00:00"/>
    <s v="C021"/>
    <s v="Cloud Infrastructure Setup"/>
    <s v="Cloud Services"/>
    <n v="1"/>
    <n v="153000"/>
    <n v="80000"/>
    <n v="73000"/>
    <n v="15"/>
    <s v="Completed"/>
    <s v="Sunita Pillai"/>
    <s v="Credit Card"/>
    <n v="6"/>
    <n v="47.71"/>
    <n v="153000"/>
    <s v="West"/>
    <s v="October"/>
    <n v="10"/>
    <x v="27"/>
  </r>
  <r>
    <s v="ORD1469"/>
    <d v="2024-01-21T00:00:00"/>
    <s v="C011"/>
    <s v="Chatbot Development"/>
    <s v="AI &amp; Automation"/>
    <n v="1"/>
    <n v="123500"/>
    <n v="55000"/>
    <n v="68500"/>
    <n v="5"/>
    <s v="Completed"/>
    <s v="Arjun Mehta"/>
    <s v="Cheque"/>
    <n v="3"/>
    <n v="55.47"/>
    <n v="123500"/>
    <s v="South"/>
    <s v="January"/>
    <n v="1"/>
    <x v="15"/>
  </r>
  <r>
    <s v="ORD1470"/>
    <d v="2024-09-21T00:00:00"/>
    <s v="C012"/>
    <s v="Network Setup &amp; Config"/>
    <s v="IT Support"/>
    <n v="5"/>
    <n v="247000"/>
    <n v="110000"/>
    <n v="137000"/>
    <n v="5"/>
    <s v="Completed"/>
    <s v="Rohit Sharma"/>
    <s v="Cheque"/>
    <n v="6"/>
    <n v="55.47"/>
    <n v="49400"/>
    <s v="North"/>
    <s v="September"/>
    <n v="9"/>
    <x v="18"/>
  </r>
  <r>
    <s v="ORD1471"/>
    <d v="2024-06-13T00:00:00"/>
    <s v="C004"/>
    <s v="HR Management System"/>
    <s v="Software License"/>
    <n v="5"/>
    <n v="360000"/>
    <n v="175000"/>
    <n v="185000"/>
    <n v="10"/>
    <s v="Completed"/>
    <s v="Priya Nair"/>
    <s v="Credit Card"/>
    <n v="6"/>
    <n v="51.39"/>
    <n v="72000"/>
    <s v="North"/>
    <s v="June"/>
    <n v="6"/>
    <x v="26"/>
  </r>
  <r>
    <s v="ORD1472"/>
    <d v="2024-12-16T00:00:00"/>
    <s v="C004"/>
    <s v="Cybersecurity Audit"/>
    <s v="Security Services"/>
    <n v="5"/>
    <n v="240000"/>
    <n v="125000"/>
    <n v="115000"/>
    <n v="20"/>
    <s v="Cancelled"/>
    <s v="Nikhil Gupta"/>
    <s v="Bank Transfer"/>
    <n v="6"/>
    <n v="47.92"/>
    <n v="48000"/>
    <s v="North"/>
    <s v="December"/>
    <n v="12"/>
    <x v="26"/>
  </r>
  <r>
    <s v="ORD1473"/>
    <d v="2024-01-13T00:00:00"/>
    <s v="C011"/>
    <s v="Cloud Migration Service"/>
    <s v="Cloud Services"/>
    <n v="1"/>
    <n v="140000"/>
    <n v="60000"/>
    <n v="80000"/>
    <n v="0"/>
    <s v="Completed"/>
    <s v="Amit Verma"/>
    <s v="Cheque"/>
    <n v="3"/>
    <n v="57.14"/>
    <n v="140000"/>
    <s v="South"/>
    <s v="January"/>
    <n v="1"/>
    <x v="15"/>
  </r>
  <r>
    <s v="ORD1474"/>
    <d v="2024-10-21T00:00:00"/>
    <s v="C030"/>
    <s v="Firewall &amp; Network Security"/>
    <s v="Security Services"/>
    <n v="4"/>
    <n v="190000"/>
    <n v="80000"/>
    <n v="110000"/>
    <n v="5"/>
    <s v="Completed"/>
    <s v="Nikhil Gupta"/>
    <s v="UPI"/>
    <n v="12"/>
    <n v="57.89"/>
    <n v="47500"/>
    <s v="North"/>
    <s v="October"/>
    <n v="10"/>
    <x v="23"/>
  </r>
  <r>
    <s v="ORD1475"/>
    <d v="2024-01-09T00:00:00"/>
    <s v="C004"/>
    <s v="Mobile App Development"/>
    <s v="Development"/>
    <n v="1"/>
    <n v="170000"/>
    <n v="85000"/>
    <n v="85000"/>
    <n v="15"/>
    <s v="Cancelled"/>
    <s v="Pooja Singh"/>
    <s v="Bank Transfer"/>
    <n v="3"/>
    <n v="50"/>
    <n v="170000"/>
    <s v="North"/>
    <s v="January"/>
    <n v="1"/>
    <x v="26"/>
  </r>
  <r>
    <s v="ORD1476"/>
    <d v="2024-12-24T00:00:00"/>
    <s v="C012"/>
    <s v="Network Setup &amp; Config"/>
    <s v="IT Support"/>
    <n v="1"/>
    <n v="49400"/>
    <n v="22000"/>
    <n v="27400"/>
    <n v="5"/>
    <s v="Cancelled"/>
    <s v="Sandeep Rao"/>
    <s v="Net Banking"/>
    <n v="3"/>
    <n v="55.47"/>
    <n v="49400"/>
    <s v="North"/>
    <s v="December"/>
    <n v="12"/>
    <x v="18"/>
  </r>
  <r>
    <s v="ORD1477"/>
    <d v="2024-05-24T00:00:00"/>
    <s v="C015"/>
    <s v="Chatbot Development"/>
    <s v="AI &amp; Automation"/>
    <n v="4"/>
    <n v="416000"/>
    <n v="220000"/>
    <n v="196000"/>
    <n v="20"/>
    <s v="Cancelled"/>
    <s v="Rohit Sharma"/>
    <s v="UPI"/>
    <n v="6"/>
    <n v="47.12"/>
    <n v="104000"/>
    <s v="West"/>
    <s v="May"/>
    <n v="5"/>
    <x v="10"/>
  </r>
  <r>
    <s v="ORD1478"/>
    <d v="2024-11-16T00:00:00"/>
    <s v="C026"/>
    <s v="Mobile App Development"/>
    <s v="Development"/>
    <n v="3"/>
    <n v="510000"/>
    <n v="255000"/>
    <n v="255000"/>
    <n v="15"/>
    <s v="Completed"/>
    <s v="Sandeep Rao"/>
    <s v="Cheque"/>
    <n v="3"/>
    <n v="50"/>
    <n v="170000"/>
    <s v="North"/>
    <s v="November"/>
    <n v="11"/>
    <x v="17"/>
  </r>
  <r>
    <s v="ORD1479"/>
    <d v="2024-10-10T00:00:00"/>
    <s v="C005"/>
    <s v="Enterprise CRM Software"/>
    <s v="Software License"/>
    <n v="1"/>
    <n v="95000"/>
    <n v="40000"/>
    <n v="55000"/>
    <n v="0"/>
    <s v="In Progress"/>
    <s v="Pooja Singh"/>
    <s v="UPI"/>
    <n v="3"/>
    <n v="57.89"/>
    <n v="95000"/>
    <s v="West"/>
    <s v="October"/>
    <n v="10"/>
    <x v="11"/>
  </r>
  <r>
    <s v="ORD1480"/>
    <d v="2024-12-30T00:00:00"/>
    <s v="C029"/>
    <s v="AI/ML Model Development"/>
    <s v="AI &amp; Automation"/>
    <n v="2"/>
    <n v="532000"/>
    <n v="240000"/>
    <n v="292000"/>
    <n v="5"/>
    <s v="Cancelled"/>
    <s v="Arjun Mehta"/>
    <s v="Credit Card"/>
    <n v="6"/>
    <n v="54.89"/>
    <n v="266000"/>
    <s v="South"/>
    <s v="December"/>
    <n v="12"/>
    <x v="13"/>
  </r>
  <r>
    <s v="ORD1481"/>
    <d v="2024-10-29T00:00:00"/>
    <s v="C007"/>
    <s v="Enterprise CRM Software"/>
    <s v="Software License"/>
    <n v="2"/>
    <n v="161500"/>
    <n v="80000"/>
    <n v="81500"/>
    <n v="15"/>
    <s v="In Progress"/>
    <s v="Rohit Sharma"/>
    <s v="Net Banking"/>
    <n v="24"/>
    <n v="50.46"/>
    <n v="80750"/>
    <s v="West"/>
    <s v="October"/>
    <n v="10"/>
    <x v="9"/>
  </r>
  <r>
    <s v="ORD1482"/>
    <d v="2024-11-26T00:00:00"/>
    <s v="C010"/>
    <s v="AWS Management Package"/>
    <s v="Cloud Services"/>
    <n v="3"/>
    <n v="360000"/>
    <n v="150000"/>
    <n v="210000"/>
    <n v="0"/>
    <s v="Completed"/>
    <s v="Pooja Singh"/>
    <s v="UPI"/>
    <n v="12"/>
    <n v="58.33"/>
    <n v="120000"/>
    <s v="South"/>
    <s v="November"/>
    <n v="11"/>
    <x v="29"/>
  </r>
  <r>
    <s v="ORD1483"/>
    <d v="2024-12-19T00:00:00"/>
    <s v="C008"/>
    <s v="Enterprise CRM Software"/>
    <s v="Software License"/>
    <n v="3"/>
    <n v="256500"/>
    <n v="120000"/>
    <n v="136500"/>
    <n v="10"/>
    <s v="Completed"/>
    <s v="Deepa Iyer"/>
    <s v="Cheque"/>
    <n v="24"/>
    <n v="53.22"/>
    <n v="85500"/>
    <s v="North"/>
    <s v="December"/>
    <n v="12"/>
    <x v="8"/>
  </r>
  <r>
    <s v="ORD1484"/>
    <d v="2024-08-18T00:00:00"/>
    <s v="C022"/>
    <s v="Data Analytics Dashboard"/>
    <s v="Analytics"/>
    <n v="5"/>
    <n v="500000"/>
    <n v="225000"/>
    <n v="275000"/>
    <n v="0"/>
    <s v="In Progress"/>
    <s v="Pooja Singh"/>
    <s v="Cheque"/>
    <n v="12"/>
    <n v="55"/>
    <n v="100000"/>
    <s v="South"/>
    <s v="August"/>
    <n v="8"/>
    <x v="6"/>
  </r>
  <r>
    <s v="ORD1485"/>
    <d v="2024-11-06T00:00:00"/>
    <s v="C008"/>
    <s v="Penetration Testing"/>
    <s v="Security Services"/>
    <n v="4"/>
    <n v="266000"/>
    <n v="120000"/>
    <n v="146000"/>
    <n v="5"/>
    <s v="Completed"/>
    <s v="Amit Verma"/>
    <s v="Cheque"/>
    <n v="24"/>
    <n v="54.89"/>
    <n v="66500"/>
    <s v="North"/>
    <s v="November"/>
    <n v="11"/>
    <x v="8"/>
  </r>
  <r>
    <s v="ORD1486"/>
    <d v="2024-08-24T00:00:00"/>
    <s v="C025"/>
    <s v="Data Analytics Dashboard"/>
    <s v="Analytics"/>
    <n v="4"/>
    <n v="360000"/>
    <n v="180000"/>
    <n v="180000"/>
    <n v="10"/>
    <s v="Completed"/>
    <s v="Amit Verma"/>
    <s v="Net Banking"/>
    <n v="3"/>
    <n v="50"/>
    <n v="90000"/>
    <s v="North"/>
    <s v="August"/>
    <n v="8"/>
    <x v="3"/>
  </r>
  <r>
    <s v="ORD1487"/>
    <d v="2024-05-23T00:00:00"/>
    <s v="C005"/>
    <s v="Mobile App Development"/>
    <s v="Development"/>
    <n v="2"/>
    <n v="380000"/>
    <n v="170000"/>
    <n v="210000"/>
    <n v="5"/>
    <s v="Cancelled"/>
    <s v="Priya Nair"/>
    <s v="Bank Transfer"/>
    <n v="3"/>
    <n v="55.26"/>
    <n v="190000"/>
    <s v="West"/>
    <s v="May"/>
    <n v="5"/>
    <x v="11"/>
  </r>
  <r>
    <s v="ORD1488"/>
    <d v="2024-09-16T00:00:00"/>
    <s v="C027"/>
    <s v="Web Portal Development"/>
    <s v="Development"/>
    <n v="5"/>
    <n v="688750"/>
    <n v="300000"/>
    <n v="388750"/>
    <n v="5"/>
    <s v="In Progress"/>
    <s v="Deepa Iyer"/>
    <s v="Bank Transfer"/>
    <n v="12"/>
    <n v="56.44"/>
    <n v="137750"/>
    <s v="North"/>
    <s v="September"/>
    <n v="9"/>
    <x v="24"/>
  </r>
  <r>
    <s v="ORD1489"/>
    <d v="2024-10-05T00:00:00"/>
    <s v="C018"/>
    <s v="Annual AMC Contract"/>
    <s v="IT Support"/>
    <n v="2"/>
    <n v="79800"/>
    <n v="36000"/>
    <n v="43800"/>
    <n v="5"/>
    <s v="Completed"/>
    <s v="Deepa Iyer"/>
    <s v="Net Banking"/>
    <n v="12"/>
    <n v="54.89"/>
    <n v="39900"/>
    <s v="South"/>
    <s v="October"/>
    <n v="10"/>
    <x v="12"/>
  </r>
  <r>
    <s v="ORD1490"/>
    <d v="2024-03-09T00:00:00"/>
    <s v="C017"/>
    <s v="AWS Management Package"/>
    <s v="Cloud Services"/>
    <n v="4"/>
    <n v="456000"/>
    <n v="200000"/>
    <n v="256000"/>
    <n v="5"/>
    <s v="In Progress"/>
    <s v="Rohit Sharma"/>
    <s v="Credit Card"/>
    <n v="6"/>
    <n v="56.14"/>
    <n v="114000"/>
    <s v="South"/>
    <s v="March"/>
    <n v="3"/>
    <x v="20"/>
  </r>
  <r>
    <s v="ORD1491"/>
    <d v="2024-10-17T00:00:00"/>
    <s v="C006"/>
    <s v="Web Portal Development"/>
    <s v="Development"/>
    <n v="5"/>
    <n v="616250"/>
    <n v="300000"/>
    <n v="316250"/>
    <n v="15"/>
    <s v="Completed"/>
    <s v="Sunita Pillai"/>
    <s v="Cheque"/>
    <n v="3"/>
    <n v="51.32"/>
    <n v="123250"/>
    <s v="West"/>
    <s v="October"/>
    <n v="10"/>
    <x v="19"/>
  </r>
  <r>
    <s v="ORD1492"/>
    <d v="2024-04-22T00:00:00"/>
    <s v="C008"/>
    <s v="AWS Management Package"/>
    <s v="Cloud Services"/>
    <n v="3"/>
    <n v="342000"/>
    <n v="150000"/>
    <n v="192000"/>
    <n v="5"/>
    <s v="Completed"/>
    <s v="Rohit Sharma"/>
    <s v="Credit Card"/>
    <n v="12"/>
    <n v="56.14"/>
    <n v="114000"/>
    <s v="North"/>
    <s v="April"/>
    <n v="4"/>
    <x v="8"/>
  </r>
  <r>
    <s v="ORD1493"/>
    <d v="2024-07-17T00:00:00"/>
    <s v="C015"/>
    <s v="Cloud Migration Service"/>
    <s v="Cloud Services"/>
    <n v="1"/>
    <n v="119000"/>
    <n v="60000"/>
    <n v="59000"/>
    <n v="15"/>
    <s v="Completed"/>
    <s v="Priya Nair"/>
    <s v="Net Banking"/>
    <n v="12"/>
    <n v="49.58"/>
    <n v="119000"/>
    <s v="West"/>
    <s v="July"/>
    <n v="7"/>
    <x v="10"/>
  </r>
  <r>
    <s v="ORD1494"/>
    <d v="2024-05-14T00:00:00"/>
    <s v="C019"/>
    <s v="HR Management System"/>
    <s v="Software License"/>
    <n v="4"/>
    <n v="272000"/>
    <n v="140000"/>
    <n v="132000"/>
    <n v="15"/>
    <s v="Completed"/>
    <s v="Kavita Joshi"/>
    <s v="Net Banking"/>
    <n v="3"/>
    <n v="48.53"/>
    <n v="68000"/>
    <s v="North"/>
    <s v="May"/>
    <n v="5"/>
    <x v="16"/>
  </r>
  <r>
    <s v="ORD1495"/>
    <d v="2024-10-25T00:00:00"/>
    <s v="C017"/>
    <s v="Chatbot Development"/>
    <s v="AI &amp; Automation"/>
    <n v="3"/>
    <n v="312000"/>
    <n v="165000"/>
    <n v="147000"/>
    <n v="20"/>
    <s v="Completed"/>
    <s v="Sunita Pillai"/>
    <s v="UPI"/>
    <n v="3"/>
    <n v="47.12"/>
    <n v="104000"/>
    <s v="South"/>
    <s v="October"/>
    <n v="10"/>
    <x v="20"/>
  </r>
  <r>
    <s v="ORD1496"/>
    <d v="2024-09-13T00:00:00"/>
    <s v="C015"/>
    <s v="HR Management System"/>
    <s v="Software License"/>
    <n v="2"/>
    <n v="160000"/>
    <n v="70000"/>
    <n v="90000"/>
    <n v="0"/>
    <s v="In Progress"/>
    <s v="Sandeep Rao"/>
    <s v="Credit Card"/>
    <n v="6"/>
    <n v="56.25"/>
    <n v="80000"/>
    <s v="West"/>
    <s v="September"/>
    <n v="9"/>
    <x v="10"/>
  </r>
  <r>
    <s v="ORD1497"/>
    <d v="2024-12-13T00:00:00"/>
    <s v="C023"/>
    <s v="Enterprise CRM Software"/>
    <s v="Software License"/>
    <n v="2"/>
    <n v="180500"/>
    <n v="80000"/>
    <n v="100500"/>
    <n v="5"/>
    <s v="Completed"/>
    <s v="Priya Nair"/>
    <s v="UPI"/>
    <n v="24"/>
    <n v="55.68"/>
    <n v="90250"/>
    <s v="South"/>
    <s v="December"/>
    <n v="12"/>
    <x v="28"/>
  </r>
  <r>
    <s v="ORD1498"/>
    <d v="2024-10-17T00:00:00"/>
    <s v="C021"/>
    <s v="RPA Implementation"/>
    <s v="AI &amp; Automation"/>
    <n v="1"/>
    <n v="160000"/>
    <n v="70000"/>
    <n v="90000"/>
    <n v="0"/>
    <s v="Completed"/>
    <s v="Amit Verma"/>
    <s v="Net Banking"/>
    <n v="6"/>
    <n v="56.25"/>
    <n v="160000"/>
    <s v="West"/>
    <s v="October"/>
    <n v="10"/>
    <x v="27"/>
  </r>
  <r>
    <s v="ORD1499"/>
    <d v="2024-03-09T00:00:00"/>
    <s v="C002"/>
    <s v="Web Portal Development"/>
    <s v="Development"/>
    <n v="2"/>
    <n v="290000"/>
    <n v="120000"/>
    <n v="170000"/>
    <n v="0"/>
    <s v="Completed"/>
    <s v="Sandeep Rao"/>
    <s v="Credit Card"/>
    <n v="24"/>
    <n v="58.62"/>
    <n v="145000"/>
    <s v="West"/>
    <s v="March"/>
    <n v="3"/>
    <x v="14"/>
  </r>
  <r>
    <s v="ORD1500"/>
    <d v="2024-11-02T00:00:00"/>
    <s v="C021"/>
    <s v="Cloud Infrastructure Setup"/>
    <s v="Cloud Services"/>
    <n v="3"/>
    <n v="540000"/>
    <n v="240000"/>
    <n v="300000"/>
    <n v="0"/>
    <s v="Completed"/>
    <s v="Sunita Pillai"/>
    <s v="Net Banking"/>
    <n v="24"/>
    <n v="55.56"/>
    <n v="180000"/>
    <s v="West"/>
    <s v="November"/>
    <n v="11"/>
    <x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1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C8" firstHeaderRow="1" firstDataRow="2" firstDataCol="1"/>
  <pivotFields count="17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4">
        <item m="1" x="19"/>
        <item m="1" x="23"/>
        <item m="1" x="6"/>
        <item m="1" x="4"/>
        <item m="1" x="18"/>
        <item m="1" x="21"/>
        <item m="1" x="10"/>
        <item m="1" x="5"/>
        <item m="1" x="9"/>
        <item m="1" x="17"/>
        <item m="1" x="20"/>
        <item m="1" x="30"/>
        <item m="1" x="14"/>
        <item m="1" x="16"/>
        <item m="1" x="25"/>
        <item m="1" x="13"/>
        <item m="1" x="24"/>
        <item m="1" x="7"/>
        <item m="1" x="12"/>
        <item m="1" x="31"/>
        <item m="1" x="3"/>
        <item m="1" x="27"/>
        <item m="1" x="32"/>
        <item m="1" x="15"/>
        <item m="1" x="8"/>
        <item m="1" x="28"/>
        <item m="1" x="26"/>
        <item m="1" x="11"/>
        <item m="1" x="29"/>
        <item m="1" x="22"/>
        <item x="0"/>
        <item x="1"/>
        <item x="2"/>
        <item t="default"/>
      </items>
    </pivotField>
  </pivotFields>
  <rowFields count="1">
    <field x="16"/>
  </rowFields>
  <rowItems count="4">
    <i>
      <x v="30"/>
    </i>
    <i>
      <x v="31"/>
    </i>
    <i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INR" fld="6" baseField="0" baseItem="0"/>
    <dataField name="Sum of Profit_INR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D12" firstHeaderRow="1" firstDataRow="2" firstDataCol="1"/>
  <pivotFields count="17">
    <pivotField showAll="0"/>
    <pivotField numFmtId="14" showAll="0"/>
    <pivotField showAll="0"/>
    <pivotField showAll="0"/>
    <pivotField axis="axisRow" showAll="0">
      <items count="8">
        <item x="4"/>
        <item x="2"/>
        <item x="1"/>
        <item x="5"/>
        <item x="3"/>
        <item x="0"/>
        <item x="6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_INR" fld="6" baseField="0" baseItem="0"/>
    <dataField name="Sum of Profit_Margin_Percent" fld="14" baseField="0" baseItem="0"/>
    <dataField name="Sum of Profit_INR" fld="8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1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C29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8"/>
        <item x="11"/>
        <item x="5"/>
        <item x="10"/>
        <item x="3"/>
        <item x="6"/>
        <item x="4"/>
        <item x="9"/>
        <item x="7"/>
        <item x="1"/>
        <item x="2"/>
        <item x="0"/>
        <item t="default"/>
      </items>
    </pivotField>
    <pivotField axis="axisRow" showAll="0">
      <items count="13">
        <item x="8"/>
        <item x="11"/>
        <item x="5"/>
        <item x="10"/>
        <item x="3"/>
        <item x="6"/>
        <item x="4"/>
        <item x="9"/>
        <item x="7"/>
        <item x="1"/>
        <item x="2"/>
        <item x="0"/>
        <item t="default"/>
      </items>
    </pivotField>
  </pivotFields>
  <rowFields count="2">
    <field x="18"/>
    <field x="17"/>
  </rowFields>
  <rowItems count="25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INR" fld="6" baseField="0" baseItem="0"/>
    <dataField name="Sum of Profit_INR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5" cacheId="2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C15" firstHeaderRow="1" firstDataRow="2" firstDataCol="1"/>
  <pivotFields count="20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31">
        <item x="4"/>
        <item x="23"/>
        <item x="29"/>
        <item x="12"/>
        <item x="10"/>
        <item x="28"/>
        <item x="5"/>
        <item x="26"/>
        <item x="19"/>
        <item x="9"/>
        <item x="1"/>
        <item x="21"/>
        <item x="17"/>
        <item x="2"/>
        <item x="6"/>
        <item x="25"/>
        <item x="15"/>
        <item x="18"/>
        <item x="13"/>
        <item x="24"/>
        <item x="22"/>
        <item x="11"/>
        <item x="3"/>
        <item x="0"/>
        <item x="27"/>
        <item x="14"/>
        <item x="16"/>
        <item x="7"/>
        <item x="20"/>
        <item x="8"/>
        <item t="default"/>
      </items>
    </pivotField>
  </pivotFields>
  <rowFields count="1">
    <field x="19"/>
  </rowFields>
  <rowItems count="11">
    <i>
      <x/>
    </i>
    <i>
      <x v="2"/>
    </i>
    <i>
      <x v="3"/>
    </i>
    <i>
      <x v="6"/>
    </i>
    <i>
      <x v="7"/>
    </i>
    <i>
      <x v="17"/>
    </i>
    <i>
      <x v="18"/>
    </i>
    <i>
      <x v="22"/>
    </i>
    <i>
      <x v="24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INR" fld="6" baseField="0" baseItem="0"/>
    <dataField name="Sum of Profit_INR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9" type="count" evalOrder="-1" id="1" iMeasureFld="0">
      <autoFilter ref="A1">
        <filterColumn colId="0">
          <top10 val="10" filterVal="10"/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F19"/>
  <sheetViews>
    <sheetView topLeftCell="A4" workbookViewId="0">
      <selection activeCell="C16" sqref="C16"/>
    </sheetView>
  </sheetViews>
  <sheetFormatPr defaultRowHeight="14.4"/>
  <cols>
    <col min="1" max="1" width="12.5546875" customWidth="1"/>
    <col min="2" max="2" width="15.77734375" bestFit="1" customWidth="1"/>
    <col min="3" max="3" width="16.21875" bestFit="1" customWidth="1"/>
  </cols>
  <sheetData>
    <row r="3" spans="1:3">
      <c r="B3" s="2" t="s">
        <v>633</v>
      </c>
    </row>
    <row r="4" spans="1:3">
      <c r="A4" s="2" t="s">
        <v>630</v>
      </c>
      <c r="B4" t="s">
        <v>632</v>
      </c>
      <c r="C4" t="s">
        <v>634</v>
      </c>
    </row>
    <row r="5" spans="1:3">
      <c r="A5" s="3" t="s">
        <v>593</v>
      </c>
      <c r="B5" s="4">
        <v>65220000</v>
      </c>
      <c r="C5" s="4">
        <v>35284000</v>
      </c>
    </row>
    <row r="6" spans="1:3">
      <c r="A6" s="3" t="s">
        <v>599</v>
      </c>
      <c r="B6" s="4">
        <v>59843150</v>
      </c>
      <c r="C6" s="4">
        <v>32681150</v>
      </c>
    </row>
    <row r="7" spans="1:3">
      <c r="A7" s="3" t="s">
        <v>596</v>
      </c>
      <c r="B7" s="4">
        <v>32619850</v>
      </c>
      <c r="C7" s="4">
        <v>17313850</v>
      </c>
    </row>
    <row r="8" spans="1:3">
      <c r="A8" s="3" t="s">
        <v>631</v>
      </c>
      <c r="B8" s="4">
        <v>157683000</v>
      </c>
      <c r="C8" s="4">
        <v>85279000</v>
      </c>
    </row>
    <row r="19" spans="6:6">
      <c r="F19" t="s">
        <v>636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G20"/>
  <sheetViews>
    <sheetView topLeftCell="F1" workbookViewId="0">
      <selection activeCell="H18" sqref="H18"/>
    </sheetView>
  </sheetViews>
  <sheetFormatPr defaultRowHeight="14.4"/>
  <cols>
    <col min="1" max="1" width="15" bestFit="1" customWidth="1"/>
    <col min="2" max="2" width="15.77734375" bestFit="1" customWidth="1"/>
    <col min="3" max="3" width="27" bestFit="1" customWidth="1"/>
    <col min="4" max="4" width="16.21875" bestFit="1" customWidth="1"/>
  </cols>
  <sheetData>
    <row r="3" spans="1:4">
      <c r="B3" s="2" t="s">
        <v>633</v>
      </c>
    </row>
    <row r="4" spans="1:4">
      <c r="A4" s="2" t="s">
        <v>630</v>
      </c>
      <c r="B4" t="s">
        <v>632</v>
      </c>
      <c r="C4" t="s">
        <v>635</v>
      </c>
      <c r="D4" t="s">
        <v>634</v>
      </c>
    </row>
    <row r="5" spans="1:4">
      <c r="A5" s="3" t="s">
        <v>45</v>
      </c>
      <c r="B5" s="4">
        <v>35940000</v>
      </c>
      <c r="C5" s="4">
        <v>3450.0299999999984</v>
      </c>
      <c r="D5" s="4">
        <v>19490000</v>
      </c>
    </row>
    <row r="6" spans="1:4">
      <c r="A6" s="3" t="s">
        <v>36</v>
      </c>
      <c r="B6" s="4">
        <v>10469000</v>
      </c>
      <c r="C6" s="4">
        <v>2602.670000000001</v>
      </c>
      <c r="D6" s="4">
        <v>5454000</v>
      </c>
    </row>
    <row r="7" spans="1:4">
      <c r="A7" s="3" t="s">
        <v>24</v>
      </c>
      <c r="B7" s="4">
        <v>25787000</v>
      </c>
      <c r="C7" s="4">
        <v>3797.5699999999979</v>
      </c>
      <c r="D7" s="4">
        <v>13837000</v>
      </c>
    </row>
    <row r="8" spans="1:4">
      <c r="A8" s="3" t="s">
        <v>54</v>
      </c>
      <c r="B8" s="4">
        <v>33347700</v>
      </c>
      <c r="C8" s="4">
        <v>4494.2500000000018</v>
      </c>
      <c r="D8" s="4">
        <v>17981700</v>
      </c>
    </row>
    <row r="9" spans="1:4">
      <c r="A9" s="3" t="s">
        <v>41</v>
      </c>
      <c r="B9" s="4">
        <v>9216050</v>
      </c>
      <c r="C9" s="4">
        <v>3623.909999999998</v>
      </c>
      <c r="D9" s="4">
        <v>4973050</v>
      </c>
    </row>
    <row r="10" spans="1:4">
      <c r="A10" s="3" t="s">
        <v>17</v>
      </c>
      <c r="B10" s="4">
        <v>13409500</v>
      </c>
      <c r="C10" s="4">
        <v>4354.9399999999987</v>
      </c>
      <c r="D10" s="4">
        <v>7319500</v>
      </c>
    </row>
    <row r="11" spans="1:4">
      <c r="A11" s="3" t="s">
        <v>62</v>
      </c>
      <c r="B11" s="4">
        <v>29513750</v>
      </c>
      <c r="C11" s="4">
        <v>4482.4400000000005</v>
      </c>
      <c r="D11" s="4">
        <v>16223750</v>
      </c>
    </row>
    <row r="12" spans="1:4">
      <c r="A12" s="3" t="s">
        <v>631</v>
      </c>
      <c r="B12" s="4">
        <v>157683000</v>
      </c>
      <c r="C12" s="4">
        <v>26805.809999999998</v>
      </c>
      <c r="D12" s="4">
        <v>85279000</v>
      </c>
    </row>
    <row r="20" spans="7:7">
      <c r="G20" t="s">
        <v>637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K29"/>
  <sheetViews>
    <sheetView topLeftCell="E10" workbookViewId="0">
      <selection activeCell="K22" sqref="K22"/>
    </sheetView>
  </sheetViews>
  <sheetFormatPr defaultRowHeight="14.4"/>
  <cols>
    <col min="1" max="1" width="13.77734375" bestFit="1" customWidth="1"/>
    <col min="2" max="2" width="15.77734375" bestFit="1" customWidth="1"/>
    <col min="3" max="3" width="16.21875" bestFit="1" customWidth="1"/>
  </cols>
  <sheetData>
    <row r="3" spans="1:3">
      <c r="B3" s="2" t="s">
        <v>633</v>
      </c>
    </row>
    <row r="4" spans="1:3">
      <c r="A4" s="2" t="s">
        <v>630</v>
      </c>
      <c r="B4" t="s">
        <v>632</v>
      </c>
      <c r="C4" t="s">
        <v>634</v>
      </c>
    </row>
    <row r="5" spans="1:3">
      <c r="A5" s="3">
        <v>1</v>
      </c>
      <c r="B5" s="4">
        <v>11782000</v>
      </c>
      <c r="C5" s="4">
        <v>6422000</v>
      </c>
    </row>
    <row r="6" spans="1:3">
      <c r="A6" s="5" t="s">
        <v>640</v>
      </c>
      <c r="B6" s="4">
        <v>11782000</v>
      </c>
      <c r="C6" s="4">
        <v>6422000</v>
      </c>
    </row>
    <row r="7" spans="1:3">
      <c r="A7" s="3">
        <v>2</v>
      </c>
      <c r="B7" s="4">
        <v>8780600</v>
      </c>
      <c r="C7" s="4">
        <v>4724600</v>
      </c>
    </row>
    <row r="8" spans="1:3">
      <c r="A8" s="5" t="s">
        <v>641</v>
      </c>
      <c r="B8" s="4">
        <v>8780600</v>
      </c>
      <c r="C8" s="4">
        <v>4724600</v>
      </c>
    </row>
    <row r="9" spans="1:3">
      <c r="A9" s="3">
        <v>3</v>
      </c>
      <c r="B9" s="4">
        <v>9805000</v>
      </c>
      <c r="C9" s="4">
        <v>5157000</v>
      </c>
    </row>
    <row r="10" spans="1:3">
      <c r="A10" s="5" t="s">
        <v>642</v>
      </c>
      <c r="B10" s="4">
        <v>9805000</v>
      </c>
      <c r="C10" s="4">
        <v>5157000</v>
      </c>
    </row>
    <row r="11" spans="1:3">
      <c r="A11" s="3">
        <v>4</v>
      </c>
      <c r="B11" s="4">
        <v>8355650</v>
      </c>
      <c r="C11" s="4">
        <v>4633650</v>
      </c>
    </row>
    <row r="12" spans="1:3">
      <c r="A12" s="5" t="s">
        <v>643</v>
      </c>
      <c r="B12" s="4">
        <v>8355650</v>
      </c>
      <c r="C12" s="4">
        <v>4633650</v>
      </c>
    </row>
    <row r="13" spans="1:3">
      <c r="A13" s="3">
        <v>5</v>
      </c>
      <c r="B13" s="4">
        <v>8147200</v>
      </c>
      <c r="C13" s="4">
        <v>4489200</v>
      </c>
    </row>
    <row r="14" spans="1:3">
      <c r="A14" s="5" t="s">
        <v>644</v>
      </c>
      <c r="B14" s="4">
        <v>8147200</v>
      </c>
      <c r="C14" s="4">
        <v>4489200</v>
      </c>
    </row>
    <row r="15" spans="1:3">
      <c r="A15" s="3">
        <v>6</v>
      </c>
      <c r="B15" s="4">
        <v>9467700</v>
      </c>
      <c r="C15" s="4">
        <v>5138700</v>
      </c>
    </row>
    <row r="16" spans="1:3">
      <c r="A16" s="5" t="s">
        <v>645</v>
      </c>
      <c r="B16" s="4">
        <v>9467700</v>
      </c>
      <c r="C16" s="4">
        <v>5138700</v>
      </c>
    </row>
    <row r="17" spans="1:11">
      <c r="A17" s="3">
        <v>7</v>
      </c>
      <c r="B17" s="4">
        <v>6090200</v>
      </c>
      <c r="C17" s="4">
        <v>3230200</v>
      </c>
    </row>
    <row r="18" spans="1:11">
      <c r="A18" s="5" t="s">
        <v>646</v>
      </c>
      <c r="B18" s="4">
        <v>6090200</v>
      </c>
      <c r="C18" s="4">
        <v>3230200</v>
      </c>
    </row>
    <row r="19" spans="1:11">
      <c r="A19" s="3">
        <v>8</v>
      </c>
      <c r="B19" s="4">
        <v>8455100</v>
      </c>
      <c r="C19" s="4">
        <v>4561100</v>
      </c>
      <c r="K19" t="s">
        <v>652</v>
      </c>
    </row>
    <row r="20" spans="1:11">
      <c r="A20" s="5" t="s">
        <v>647</v>
      </c>
      <c r="B20" s="4">
        <v>8455100</v>
      </c>
      <c r="C20" s="4">
        <v>4561100</v>
      </c>
    </row>
    <row r="21" spans="1:11">
      <c r="A21" s="3">
        <v>9</v>
      </c>
      <c r="B21" s="4">
        <v>11239350</v>
      </c>
      <c r="C21" s="4">
        <v>6004350</v>
      </c>
    </row>
    <row r="22" spans="1:11">
      <c r="A22" s="5" t="s">
        <v>648</v>
      </c>
      <c r="B22" s="4">
        <v>11239350</v>
      </c>
      <c r="C22" s="4">
        <v>6004350</v>
      </c>
    </row>
    <row r="23" spans="1:11">
      <c r="A23" s="3">
        <v>10</v>
      </c>
      <c r="B23" s="4">
        <v>25660100</v>
      </c>
      <c r="C23" s="4">
        <v>14047100</v>
      </c>
    </row>
    <row r="24" spans="1:11">
      <c r="A24" s="5" t="s">
        <v>649</v>
      </c>
      <c r="B24" s="4">
        <v>25660100</v>
      </c>
      <c r="C24" s="4">
        <v>14047100</v>
      </c>
    </row>
    <row r="25" spans="1:11">
      <c r="A25" s="3">
        <v>11</v>
      </c>
      <c r="B25" s="4">
        <v>23359900</v>
      </c>
      <c r="C25" s="4">
        <v>12547900</v>
      </c>
    </row>
    <row r="26" spans="1:11">
      <c r="A26" s="5" t="s">
        <v>650</v>
      </c>
      <c r="B26" s="4">
        <v>23359900</v>
      </c>
      <c r="C26" s="4">
        <v>12547900</v>
      </c>
    </row>
    <row r="27" spans="1:11">
      <c r="A27" s="3">
        <v>12</v>
      </c>
      <c r="B27" s="4">
        <v>26540200</v>
      </c>
      <c r="C27" s="4">
        <v>14323200</v>
      </c>
    </row>
    <row r="28" spans="1:11">
      <c r="A28" s="5" t="s">
        <v>651</v>
      </c>
      <c r="B28" s="4">
        <v>26540200</v>
      </c>
      <c r="C28" s="4">
        <v>14323200</v>
      </c>
    </row>
    <row r="29" spans="1:11">
      <c r="A29" s="3" t="s">
        <v>631</v>
      </c>
      <c r="B29" s="4">
        <v>157683000</v>
      </c>
      <c r="C29" s="4">
        <v>85279000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I19"/>
  <sheetViews>
    <sheetView topLeftCell="C10" workbookViewId="0">
      <selection activeCell="D22" sqref="D22"/>
    </sheetView>
  </sheetViews>
  <sheetFormatPr defaultRowHeight="14.4"/>
  <cols>
    <col min="1" max="1" width="13.44140625" customWidth="1"/>
    <col min="2" max="2" width="15.77734375" bestFit="1" customWidth="1"/>
    <col min="3" max="3" width="16.21875" bestFit="1" customWidth="1"/>
  </cols>
  <sheetData>
    <row r="3" spans="1:3">
      <c r="B3" s="2" t="s">
        <v>633</v>
      </c>
    </row>
    <row r="4" spans="1:3">
      <c r="A4" s="2" t="s">
        <v>630</v>
      </c>
      <c r="B4" t="s">
        <v>632</v>
      </c>
      <c r="C4" t="s">
        <v>634</v>
      </c>
    </row>
    <row r="5" spans="1:3">
      <c r="A5" s="3" t="s">
        <v>621</v>
      </c>
      <c r="B5" s="4">
        <v>7210150</v>
      </c>
      <c r="C5" s="4">
        <v>3971150</v>
      </c>
    </row>
    <row r="6" spans="1:3">
      <c r="A6" s="3" t="s">
        <v>606</v>
      </c>
      <c r="B6" s="4">
        <v>5693700</v>
      </c>
      <c r="C6" s="4">
        <v>3132700</v>
      </c>
    </row>
    <row r="7" spans="1:3">
      <c r="A7" s="3" t="s">
        <v>615</v>
      </c>
      <c r="B7" s="4">
        <v>5974650</v>
      </c>
      <c r="C7" s="4">
        <v>3270650</v>
      </c>
    </row>
    <row r="8" spans="1:3">
      <c r="A8" s="3" t="s">
        <v>625</v>
      </c>
      <c r="B8" s="4">
        <v>6277500</v>
      </c>
      <c r="C8" s="4">
        <v>3415500</v>
      </c>
    </row>
    <row r="9" spans="1:3">
      <c r="A9" s="3" t="s">
        <v>598</v>
      </c>
      <c r="B9" s="4">
        <v>6329750</v>
      </c>
      <c r="C9" s="4">
        <v>3438750</v>
      </c>
    </row>
    <row r="10" spans="1:3">
      <c r="A10" s="3" t="s">
        <v>609</v>
      </c>
      <c r="B10" s="4">
        <v>6396650</v>
      </c>
      <c r="C10" s="4">
        <v>3486650</v>
      </c>
    </row>
    <row r="11" spans="1:3">
      <c r="A11" s="3" t="s">
        <v>626</v>
      </c>
      <c r="B11" s="4">
        <v>7715300</v>
      </c>
      <c r="C11" s="4">
        <v>4178300</v>
      </c>
    </row>
    <row r="12" spans="1:3">
      <c r="A12" s="3" t="s">
        <v>622</v>
      </c>
      <c r="B12" s="4">
        <v>6173600</v>
      </c>
      <c r="C12" s="4">
        <v>3445600</v>
      </c>
    </row>
    <row r="13" spans="1:3">
      <c r="A13" s="3" t="s">
        <v>618</v>
      </c>
      <c r="B13" s="4">
        <v>7575850</v>
      </c>
      <c r="C13" s="4">
        <v>4044850</v>
      </c>
    </row>
    <row r="14" spans="1:3">
      <c r="A14" s="3" t="s">
        <v>604</v>
      </c>
      <c r="B14" s="4">
        <v>10854000</v>
      </c>
      <c r="C14" s="4">
        <v>6042000</v>
      </c>
    </row>
    <row r="15" spans="1:3">
      <c r="A15" s="3" t="s">
        <v>631</v>
      </c>
      <c r="B15" s="4">
        <v>70201150</v>
      </c>
      <c r="C15" s="4">
        <v>38426150</v>
      </c>
    </row>
    <row r="19" spans="9:9">
      <c r="I19" t="s">
        <v>653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01"/>
  <sheetViews>
    <sheetView workbookViewId="0">
      <selection activeCell="H14" sqref="H14"/>
    </sheetView>
  </sheetViews>
  <sheetFormatPr defaultRowHeight="14.4"/>
  <cols>
    <col min="14" max="14" width="15.77734375" customWidth="1"/>
    <col min="15" max="15" width="20" customWidth="1"/>
    <col min="16" max="16" width="16" customWidth="1"/>
    <col min="17" max="17" width="18" customWidth="1"/>
    <col min="18" max="18" width="13.21875" customWidth="1"/>
    <col min="19" max="19" width="14.88671875" customWidth="1"/>
    <col min="20" max="20" width="15.66406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628</v>
      </c>
      <c r="P1" t="s">
        <v>629</v>
      </c>
      <c r="Q1" t="s">
        <v>590</v>
      </c>
      <c r="R1" t="s">
        <v>638</v>
      </c>
      <c r="S1" t="s">
        <v>639</v>
      </c>
      <c r="T1" t="s">
        <v>589</v>
      </c>
    </row>
    <row r="2" spans="1:20">
      <c r="A2" t="s">
        <v>14</v>
      </c>
      <c r="B2" s="1">
        <v>45656</v>
      </c>
      <c r="C2" t="s">
        <v>15</v>
      </c>
      <c r="D2" t="s">
        <v>16</v>
      </c>
      <c r="E2" t="s">
        <v>17</v>
      </c>
      <c r="F2">
        <v>2</v>
      </c>
      <c r="G2">
        <v>140000</v>
      </c>
      <c r="H2">
        <v>60000</v>
      </c>
      <c r="I2">
        <v>80000</v>
      </c>
      <c r="J2">
        <v>0</v>
      </c>
      <c r="K2" t="s">
        <v>18</v>
      </c>
      <c r="L2" t="s">
        <v>19</v>
      </c>
      <c r="M2" t="s">
        <v>20</v>
      </c>
      <c r="N2">
        <v>3</v>
      </c>
      <c r="O2">
        <f>ROUND((I2/G2)*100,2)</f>
        <v>57.14</v>
      </c>
      <c r="P2">
        <f>ROUND(G2/F2,2)</f>
        <v>70000</v>
      </c>
      <c r="Q2" t="str">
        <f>VLOOKUP(C2,Customers!$A:$D,3,0)</f>
        <v>South</v>
      </c>
      <c r="R2" t="str">
        <f>TEXT(B2,"MMMM")</f>
        <v>December</v>
      </c>
      <c r="S2">
        <f>MONTH(B2)</f>
        <v>12</v>
      </c>
      <c r="T2" t="str">
        <f>VLOOKUP(C2,Customers!$A:$B,2,0)</f>
        <v>Swiggy Inc</v>
      </c>
    </row>
    <row r="3" spans="1:20">
      <c r="A3" t="s">
        <v>21</v>
      </c>
      <c r="B3" s="1">
        <v>45594</v>
      </c>
      <c r="C3" t="s">
        <v>22</v>
      </c>
      <c r="D3" t="s">
        <v>23</v>
      </c>
      <c r="E3" t="s">
        <v>24</v>
      </c>
      <c r="F3">
        <v>2</v>
      </c>
      <c r="G3">
        <v>240000</v>
      </c>
      <c r="H3">
        <v>100000</v>
      </c>
      <c r="I3">
        <v>140000</v>
      </c>
      <c r="J3">
        <v>0</v>
      </c>
      <c r="K3" t="s">
        <v>25</v>
      </c>
      <c r="L3" t="s">
        <v>26</v>
      </c>
      <c r="M3" t="s">
        <v>27</v>
      </c>
      <c r="N3">
        <v>6</v>
      </c>
      <c r="O3">
        <f t="shared" ref="O3:O66" si="0">ROUND((I3/G3)*100,2)</f>
        <v>58.33</v>
      </c>
      <c r="P3">
        <f t="shared" ref="P3:P66" si="1">ROUND(G3/F3,2)</f>
        <v>120000</v>
      </c>
      <c r="Q3" t="str">
        <f>VLOOKUP(C3,Customers!$A:$D,3,0)</f>
        <v>South</v>
      </c>
      <c r="R3" t="str">
        <f t="shared" ref="R3:R66" si="2">TEXT(B3,"MMMM")</f>
        <v>October</v>
      </c>
      <c r="S3">
        <f t="shared" ref="S3:S66" si="3">MONTH(B3)</f>
        <v>10</v>
      </c>
      <c r="T3" t="str">
        <f>VLOOKUP(C3,Customers!$A:$B,2,0)</f>
        <v>Infosys Ltd</v>
      </c>
    </row>
    <row r="4" spans="1:20">
      <c r="A4" t="s">
        <v>28</v>
      </c>
      <c r="B4" s="1">
        <v>45624</v>
      </c>
      <c r="C4" t="s">
        <v>29</v>
      </c>
      <c r="D4" t="s">
        <v>16</v>
      </c>
      <c r="E4" t="s">
        <v>17</v>
      </c>
      <c r="F4">
        <v>4</v>
      </c>
      <c r="G4">
        <v>252000</v>
      </c>
      <c r="H4">
        <v>120000</v>
      </c>
      <c r="I4">
        <v>132000</v>
      </c>
      <c r="J4">
        <v>10</v>
      </c>
      <c r="K4" t="s">
        <v>30</v>
      </c>
      <c r="L4" t="s">
        <v>31</v>
      </c>
      <c r="M4" t="s">
        <v>32</v>
      </c>
      <c r="N4">
        <v>24</v>
      </c>
      <c r="O4">
        <f t="shared" si="0"/>
        <v>52.38</v>
      </c>
      <c r="P4">
        <f t="shared" si="1"/>
        <v>63000</v>
      </c>
      <c r="Q4" t="str">
        <f>VLOOKUP(C4,Customers!$A:$D,3,0)</f>
        <v>South</v>
      </c>
      <c r="R4" t="str">
        <f t="shared" si="2"/>
        <v>November</v>
      </c>
      <c r="S4">
        <f t="shared" si="3"/>
        <v>11</v>
      </c>
      <c r="T4" t="str">
        <f>VLOOKUP(C4,Customers!$A:$B,2,0)</f>
        <v>Meesho Network</v>
      </c>
    </row>
    <row r="5" spans="1:20">
      <c r="A5" t="s">
        <v>33</v>
      </c>
      <c r="B5" s="1">
        <v>45589</v>
      </c>
      <c r="C5" t="s">
        <v>34</v>
      </c>
      <c r="D5" t="s">
        <v>35</v>
      </c>
      <c r="E5" t="s">
        <v>36</v>
      </c>
      <c r="F5">
        <v>1</v>
      </c>
      <c r="G5">
        <v>65000</v>
      </c>
      <c r="H5">
        <v>28000</v>
      </c>
      <c r="I5">
        <v>37000</v>
      </c>
      <c r="J5">
        <v>0</v>
      </c>
      <c r="K5" t="s">
        <v>30</v>
      </c>
      <c r="L5" t="s">
        <v>19</v>
      </c>
      <c r="M5" t="s">
        <v>37</v>
      </c>
      <c r="N5">
        <v>12</v>
      </c>
      <c r="O5">
        <f t="shared" si="0"/>
        <v>56.92</v>
      </c>
      <c r="P5">
        <f t="shared" si="1"/>
        <v>65000</v>
      </c>
      <c r="Q5" t="str">
        <f>VLOOKUP(C5,Customers!$A:$D,3,0)</f>
        <v>North</v>
      </c>
      <c r="R5" t="str">
        <f t="shared" si="2"/>
        <v>October</v>
      </c>
      <c r="S5">
        <f t="shared" si="3"/>
        <v>10</v>
      </c>
      <c r="T5" t="str">
        <f>VLOOKUP(C5,Customers!$A:$B,2,0)</f>
        <v>Snapdeal Ltd</v>
      </c>
    </row>
    <row r="6" spans="1:20">
      <c r="A6" t="s">
        <v>38</v>
      </c>
      <c r="B6" s="1">
        <v>45567</v>
      </c>
      <c r="C6" t="s">
        <v>39</v>
      </c>
      <c r="D6" t="s">
        <v>40</v>
      </c>
      <c r="E6" t="s">
        <v>41</v>
      </c>
      <c r="F6">
        <v>5</v>
      </c>
      <c r="G6">
        <v>175000</v>
      </c>
      <c r="H6">
        <v>75000</v>
      </c>
      <c r="I6">
        <v>100000</v>
      </c>
      <c r="J6">
        <v>0</v>
      </c>
      <c r="K6" t="s">
        <v>30</v>
      </c>
      <c r="L6" t="s">
        <v>19</v>
      </c>
      <c r="M6" t="s">
        <v>20</v>
      </c>
      <c r="N6">
        <v>12</v>
      </c>
      <c r="O6">
        <f t="shared" si="0"/>
        <v>57.14</v>
      </c>
      <c r="P6">
        <f t="shared" si="1"/>
        <v>35000</v>
      </c>
      <c r="Q6" t="str">
        <f>VLOOKUP(C6,Customers!$A:$D,3,0)</f>
        <v>North</v>
      </c>
      <c r="R6" t="str">
        <f t="shared" si="2"/>
        <v>October</v>
      </c>
      <c r="S6">
        <f t="shared" si="3"/>
        <v>10</v>
      </c>
      <c r="T6" t="str">
        <f>VLOOKUP(C6,Customers!$A:$B,2,0)</f>
        <v>Amazon India</v>
      </c>
    </row>
    <row r="7" spans="1:20">
      <c r="A7" t="s">
        <v>42</v>
      </c>
      <c r="B7" s="1">
        <v>45613</v>
      </c>
      <c r="C7" t="s">
        <v>43</v>
      </c>
      <c r="D7" t="s">
        <v>44</v>
      </c>
      <c r="E7" t="s">
        <v>45</v>
      </c>
      <c r="F7">
        <v>5</v>
      </c>
      <c r="G7">
        <v>1400000</v>
      </c>
      <c r="H7">
        <v>600000</v>
      </c>
      <c r="I7">
        <v>800000</v>
      </c>
      <c r="J7">
        <v>0</v>
      </c>
      <c r="K7" t="s">
        <v>18</v>
      </c>
      <c r="L7" t="s">
        <v>19</v>
      </c>
      <c r="M7" t="s">
        <v>27</v>
      </c>
      <c r="N7">
        <v>6</v>
      </c>
      <c r="O7">
        <f t="shared" si="0"/>
        <v>57.14</v>
      </c>
      <c r="P7">
        <f t="shared" si="1"/>
        <v>280000</v>
      </c>
      <c r="Q7" t="str">
        <f>VLOOKUP(C7,Customers!$A:$D,3,0)</f>
        <v>South</v>
      </c>
      <c r="R7" t="str">
        <f t="shared" si="2"/>
        <v>November</v>
      </c>
      <c r="S7">
        <f t="shared" si="3"/>
        <v>11</v>
      </c>
      <c r="T7" t="str">
        <f>VLOOKUP(C7,Customers!$A:$B,2,0)</f>
        <v>Groww Invest</v>
      </c>
    </row>
    <row r="8" spans="1:20">
      <c r="A8" t="s">
        <v>46</v>
      </c>
      <c r="B8" s="1">
        <v>45440</v>
      </c>
      <c r="C8" t="s">
        <v>43</v>
      </c>
      <c r="D8" t="s">
        <v>16</v>
      </c>
      <c r="E8" t="s">
        <v>17</v>
      </c>
      <c r="F8">
        <v>1</v>
      </c>
      <c r="G8">
        <v>66500</v>
      </c>
      <c r="H8">
        <v>30000</v>
      </c>
      <c r="I8">
        <v>36500</v>
      </c>
      <c r="J8">
        <v>5</v>
      </c>
      <c r="K8" t="s">
        <v>30</v>
      </c>
      <c r="L8" t="s">
        <v>47</v>
      </c>
      <c r="M8" t="s">
        <v>37</v>
      </c>
      <c r="N8">
        <v>6</v>
      </c>
      <c r="O8">
        <f t="shared" si="0"/>
        <v>54.89</v>
      </c>
      <c r="P8">
        <f t="shared" si="1"/>
        <v>66500</v>
      </c>
      <c r="Q8" t="str">
        <f>VLOOKUP(C8,Customers!$A:$D,3,0)</f>
        <v>South</v>
      </c>
      <c r="R8" t="str">
        <f t="shared" si="2"/>
        <v>May</v>
      </c>
      <c r="S8">
        <f t="shared" si="3"/>
        <v>5</v>
      </c>
      <c r="T8" t="str">
        <f>VLOOKUP(C8,Customers!$A:$B,2,0)</f>
        <v>Groww Invest</v>
      </c>
    </row>
    <row r="9" spans="1:20">
      <c r="A9" t="s">
        <v>48</v>
      </c>
      <c r="B9" s="1">
        <v>45481</v>
      </c>
      <c r="C9" t="s">
        <v>49</v>
      </c>
      <c r="D9" t="s">
        <v>50</v>
      </c>
      <c r="E9" t="s">
        <v>17</v>
      </c>
      <c r="F9">
        <v>1</v>
      </c>
      <c r="G9">
        <v>45000</v>
      </c>
      <c r="H9">
        <v>20000</v>
      </c>
      <c r="I9">
        <v>25000</v>
      </c>
      <c r="J9">
        <v>10</v>
      </c>
      <c r="K9" t="s">
        <v>18</v>
      </c>
      <c r="L9" t="s">
        <v>51</v>
      </c>
      <c r="M9" t="s">
        <v>20</v>
      </c>
      <c r="N9">
        <v>6</v>
      </c>
      <c r="O9">
        <f t="shared" si="0"/>
        <v>55.56</v>
      </c>
      <c r="P9">
        <f t="shared" si="1"/>
        <v>45000</v>
      </c>
      <c r="Q9" t="str">
        <f>VLOOKUP(C9,Customers!$A:$D,3,0)</f>
        <v>South</v>
      </c>
      <c r="R9" t="str">
        <f t="shared" si="2"/>
        <v>July</v>
      </c>
      <c r="S9">
        <f t="shared" si="3"/>
        <v>7</v>
      </c>
      <c r="T9" t="str">
        <f>VLOOKUP(C9,Customers!$A:$B,2,0)</f>
        <v>Myntra Fashion</v>
      </c>
    </row>
    <row r="10" spans="1:20">
      <c r="A10" t="s">
        <v>52</v>
      </c>
      <c r="B10" s="1">
        <v>45375</v>
      </c>
      <c r="C10" t="s">
        <v>15</v>
      </c>
      <c r="D10" t="s">
        <v>53</v>
      </c>
      <c r="E10" t="s">
        <v>54</v>
      </c>
      <c r="F10">
        <v>2</v>
      </c>
      <c r="G10">
        <v>340000</v>
      </c>
      <c r="H10">
        <v>170000</v>
      </c>
      <c r="I10">
        <v>170000</v>
      </c>
      <c r="J10">
        <v>15</v>
      </c>
      <c r="K10" t="s">
        <v>30</v>
      </c>
      <c r="L10" t="s">
        <v>31</v>
      </c>
      <c r="M10" t="s">
        <v>32</v>
      </c>
      <c r="N10">
        <v>3</v>
      </c>
      <c r="O10">
        <f t="shared" si="0"/>
        <v>50</v>
      </c>
      <c r="P10">
        <f t="shared" si="1"/>
        <v>170000</v>
      </c>
      <c r="Q10" t="str">
        <f>VLOOKUP(C10,Customers!$A:$D,3,0)</f>
        <v>South</v>
      </c>
      <c r="R10" t="str">
        <f t="shared" si="2"/>
        <v>March</v>
      </c>
      <c r="S10">
        <f t="shared" si="3"/>
        <v>3</v>
      </c>
      <c r="T10" t="str">
        <f>VLOOKUP(C10,Customers!$A:$B,2,0)</f>
        <v>Swiggy Inc</v>
      </c>
    </row>
    <row r="11" spans="1:20">
      <c r="A11" t="s">
        <v>55</v>
      </c>
      <c r="B11" s="1">
        <v>45453</v>
      </c>
      <c r="C11" t="s">
        <v>56</v>
      </c>
      <c r="D11" t="s">
        <v>57</v>
      </c>
      <c r="E11" t="s">
        <v>17</v>
      </c>
      <c r="F11">
        <v>5</v>
      </c>
      <c r="G11">
        <v>255000</v>
      </c>
      <c r="H11">
        <v>125000</v>
      </c>
      <c r="I11">
        <v>130000</v>
      </c>
      <c r="J11">
        <v>15</v>
      </c>
      <c r="K11" t="s">
        <v>30</v>
      </c>
      <c r="L11" t="s">
        <v>58</v>
      </c>
      <c r="M11" t="s">
        <v>59</v>
      </c>
      <c r="N11">
        <v>24</v>
      </c>
      <c r="O11">
        <f t="shared" si="0"/>
        <v>50.98</v>
      </c>
      <c r="P11">
        <f t="shared" si="1"/>
        <v>51000</v>
      </c>
      <c r="Q11" t="str">
        <f>VLOOKUP(C11,Customers!$A:$D,3,0)</f>
        <v>South</v>
      </c>
      <c r="R11" t="str">
        <f t="shared" si="2"/>
        <v>June</v>
      </c>
      <c r="S11">
        <f t="shared" si="3"/>
        <v>6</v>
      </c>
      <c r="T11" t="str">
        <f>VLOOKUP(C11,Customers!$A:$B,2,0)</f>
        <v>Wipro Technologies</v>
      </c>
    </row>
    <row r="12" spans="1:20">
      <c r="A12" t="s">
        <v>60</v>
      </c>
      <c r="B12" s="1">
        <v>45621</v>
      </c>
      <c r="C12" t="s">
        <v>15</v>
      </c>
      <c r="D12" t="s">
        <v>61</v>
      </c>
      <c r="E12" t="s">
        <v>62</v>
      </c>
      <c r="F12">
        <v>2</v>
      </c>
      <c r="G12">
        <v>374000</v>
      </c>
      <c r="H12">
        <v>180000</v>
      </c>
      <c r="I12">
        <v>194000</v>
      </c>
      <c r="J12">
        <v>15</v>
      </c>
      <c r="K12" t="s">
        <v>25</v>
      </c>
      <c r="L12" t="s">
        <v>63</v>
      </c>
      <c r="M12" t="s">
        <v>37</v>
      </c>
      <c r="N12">
        <v>24</v>
      </c>
      <c r="O12">
        <f t="shared" si="0"/>
        <v>51.87</v>
      </c>
      <c r="P12">
        <f t="shared" si="1"/>
        <v>187000</v>
      </c>
      <c r="Q12" t="str">
        <f>VLOOKUP(C12,Customers!$A:$D,3,0)</f>
        <v>South</v>
      </c>
      <c r="R12" t="str">
        <f t="shared" si="2"/>
        <v>November</v>
      </c>
      <c r="S12">
        <f t="shared" si="3"/>
        <v>11</v>
      </c>
      <c r="T12" t="str">
        <f>VLOOKUP(C12,Customers!$A:$B,2,0)</f>
        <v>Swiggy Inc</v>
      </c>
    </row>
    <row r="13" spans="1:20">
      <c r="A13" t="s">
        <v>64</v>
      </c>
      <c r="B13" s="1">
        <v>45590</v>
      </c>
      <c r="C13" t="s">
        <v>65</v>
      </c>
      <c r="D13" t="s">
        <v>61</v>
      </c>
      <c r="E13" t="s">
        <v>62</v>
      </c>
      <c r="F13">
        <v>5</v>
      </c>
      <c r="G13">
        <v>1045000</v>
      </c>
      <c r="H13">
        <v>450000</v>
      </c>
      <c r="I13">
        <v>595000</v>
      </c>
      <c r="J13">
        <v>5</v>
      </c>
      <c r="K13" t="s">
        <v>30</v>
      </c>
      <c r="L13" t="s">
        <v>31</v>
      </c>
      <c r="M13" t="s">
        <v>27</v>
      </c>
      <c r="N13">
        <v>6</v>
      </c>
      <c r="O13">
        <f t="shared" si="0"/>
        <v>56.94</v>
      </c>
      <c r="P13">
        <f t="shared" si="1"/>
        <v>209000</v>
      </c>
      <c r="Q13" t="str">
        <f>VLOOKUP(C13,Customers!$A:$D,3,0)</f>
        <v>North</v>
      </c>
      <c r="R13" t="str">
        <f t="shared" si="2"/>
        <v>October</v>
      </c>
      <c r="S13">
        <f t="shared" si="3"/>
        <v>10</v>
      </c>
      <c r="T13" t="str">
        <f>VLOOKUP(C13,Customers!$A:$B,2,0)</f>
        <v>Zomato Pvt Ltd</v>
      </c>
    </row>
    <row r="14" spans="1:20">
      <c r="A14" t="s">
        <v>66</v>
      </c>
      <c r="B14" s="1">
        <v>45649</v>
      </c>
      <c r="C14" t="s">
        <v>29</v>
      </c>
      <c r="D14" t="s">
        <v>67</v>
      </c>
      <c r="E14" t="s">
        <v>54</v>
      </c>
      <c r="F14">
        <v>1</v>
      </c>
      <c r="G14">
        <v>83600</v>
      </c>
      <c r="H14">
        <v>38000</v>
      </c>
      <c r="I14">
        <v>45600</v>
      </c>
      <c r="J14">
        <v>5</v>
      </c>
      <c r="K14" t="s">
        <v>30</v>
      </c>
      <c r="L14" t="s">
        <v>26</v>
      </c>
      <c r="M14" t="s">
        <v>59</v>
      </c>
      <c r="N14">
        <v>12</v>
      </c>
      <c r="O14">
        <f t="shared" si="0"/>
        <v>54.55</v>
      </c>
      <c r="P14">
        <f t="shared" si="1"/>
        <v>83600</v>
      </c>
      <c r="Q14" t="str">
        <f>VLOOKUP(C14,Customers!$A:$D,3,0)</f>
        <v>South</v>
      </c>
      <c r="R14" t="str">
        <f t="shared" si="2"/>
        <v>December</v>
      </c>
      <c r="S14">
        <f t="shared" si="3"/>
        <v>12</v>
      </c>
      <c r="T14" t="str">
        <f>VLOOKUP(C14,Customers!$A:$B,2,0)</f>
        <v>Meesho Network</v>
      </c>
    </row>
    <row r="15" spans="1:20">
      <c r="A15" t="s">
        <v>68</v>
      </c>
      <c r="B15" s="1">
        <v>45575</v>
      </c>
      <c r="C15" t="s">
        <v>22</v>
      </c>
      <c r="D15" t="s">
        <v>69</v>
      </c>
      <c r="E15" t="s">
        <v>62</v>
      </c>
      <c r="F15">
        <v>5</v>
      </c>
      <c r="G15">
        <v>380000</v>
      </c>
      <c r="H15">
        <v>200000</v>
      </c>
      <c r="I15">
        <v>180000</v>
      </c>
      <c r="J15">
        <v>20</v>
      </c>
      <c r="K15" t="s">
        <v>30</v>
      </c>
      <c r="L15" t="s">
        <v>70</v>
      </c>
      <c r="M15" t="s">
        <v>27</v>
      </c>
      <c r="N15">
        <v>12</v>
      </c>
      <c r="O15">
        <f t="shared" si="0"/>
        <v>47.37</v>
      </c>
      <c r="P15">
        <f t="shared" si="1"/>
        <v>76000</v>
      </c>
      <c r="Q15" t="str">
        <f>VLOOKUP(C15,Customers!$A:$D,3,0)</f>
        <v>South</v>
      </c>
      <c r="R15" t="str">
        <f t="shared" si="2"/>
        <v>October</v>
      </c>
      <c r="S15">
        <f t="shared" si="3"/>
        <v>10</v>
      </c>
      <c r="T15" t="str">
        <f>VLOOKUP(C15,Customers!$A:$B,2,0)</f>
        <v>Infosys Ltd</v>
      </c>
    </row>
    <row r="16" spans="1:20">
      <c r="A16" t="s">
        <v>71</v>
      </c>
      <c r="B16" s="1">
        <v>45562</v>
      </c>
      <c r="C16" t="s">
        <v>39</v>
      </c>
      <c r="D16" t="s">
        <v>50</v>
      </c>
      <c r="E16" t="s">
        <v>17</v>
      </c>
      <c r="F16">
        <v>5</v>
      </c>
      <c r="G16">
        <v>200000</v>
      </c>
      <c r="H16">
        <v>100000</v>
      </c>
      <c r="I16">
        <v>100000</v>
      </c>
      <c r="J16">
        <v>20</v>
      </c>
      <c r="K16" t="s">
        <v>30</v>
      </c>
      <c r="L16" t="s">
        <v>63</v>
      </c>
      <c r="M16" t="s">
        <v>27</v>
      </c>
      <c r="N16">
        <v>12</v>
      </c>
      <c r="O16">
        <f t="shared" si="0"/>
        <v>50</v>
      </c>
      <c r="P16">
        <f t="shared" si="1"/>
        <v>40000</v>
      </c>
      <c r="Q16" t="str">
        <f>VLOOKUP(C16,Customers!$A:$D,3,0)</f>
        <v>North</v>
      </c>
      <c r="R16" t="str">
        <f t="shared" si="2"/>
        <v>September</v>
      </c>
      <c r="S16">
        <f t="shared" si="3"/>
        <v>9</v>
      </c>
      <c r="T16" t="str">
        <f>VLOOKUP(C16,Customers!$A:$B,2,0)</f>
        <v>Amazon India</v>
      </c>
    </row>
    <row r="17" spans="1:20">
      <c r="A17" t="s">
        <v>72</v>
      </c>
      <c r="B17" s="1">
        <v>45619</v>
      </c>
      <c r="C17" t="s">
        <v>73</v>
      </c>
      <c r="D17" t="s">
        <v>61</v>
      </c>
      <c r="E17" t="s">
        <v>62</v>
      </c>
      <c r="F17">
        <v>3</v>
      </c>
      <c r="G17">
        <v>528000</v>
      </c>
      <c r="H17">
        <v>270000</v>
      </c>
      <c r="I17">
        <v>258000</v>
      </c>
      <c r="J17">
        <v>20</v>
      </c>
      <c r="K17" t="s">
        <v>30</v>
      </c>
      <c r="L17" t="s">
        <v>63</v>
      </c>
      <c r="M17" t="s">
        <v>20</v>
      </c>
      <c r="N17">
        <v>3</v>
      </c>
      <c r="O17">
        <f t="shared" si="0"/>
        <v>48.86</v>
      </c>
      <c r="P17">
        <f t="shared" si="1"/>
        <v>176000</v>
      </c>
      <c r="Q17" t="str">
        <f>VLOOKUP(C17,Customers!$A:$D,3,0)</f>
        <v>West</v>
      </c>
      <c r="R17" t="str">
        <f t="shared" si="2"/>
        <v>November</v>
      </c>
      <c r="S17">
        <f t="shared" si="3"/>
        <v>11</v>
      </c>
      <c r="T17" t="str">
        <f>VLOOKUP(C17,Customers!$A:$B,2,0)</f>
        <v>ICICI Tech</v>
      </c>
    </row>
    <row r="18" spans="1:20">
      <c r="A18" t="s">
        <v>74</v>
      </c>
      <c r="B18" s="1">
        <v>45598</v>
      </c>
      <c r="C18" t="s">
        <v>22</v>
      </c>
      <c r="D18" t="s">
        <v>69</v>
      </c>
      <c r="E18" t="s">
        <v>62</v>
      </c>
      <c r="F18">
        <v>3</v>
      </c>
      <c r="G18">
        <v>228000</v>
      </c>
      <c r="H18">
        <v>120000</v>
      </c>
      <c r="I18">
        <v>108000</v>
      </c>
      <c r="J18">
        <v>20</v>
      </c>
      <c r="K18" t="s">
        <v>30</v>
      </c>
      <c r="L18" t="s">
        <v>58</v>
      </c>
      <c r="M18" t="s">
        <v>27</v>
      </c>
      <c r="N18">
        <v>6</v>
      </c>
      <c r="O18">
        <f t="shared" si="0"/>
        <v>47.37</v>
      </c>
      <c r="P18">
        <f t="shared" si="1"/>
        <v>76000</v>
      </c>
      <c r="Q18" t="str">
        <f>VLOOKUP(C18,Customers!$A:$D,3,0)</f>
        <v>South</v>
      </c>
      <c r="R18" t="str">
        <f t="shared" si="2"/>
        <v>November</v>
      </c>
      <c r="S18">
        <f t="shared" si="3"/>
        <v>11</v>
      </c>
      <c r="T18" t="str">
        <f>VLOOKUP(C18,Customers!$A:$B,2,0)</f>
        <v>Infosys Ltd</v>
      </c>
    </row>
    <row r="19" spans="1:20">
      <c r="A19" t="s">
        <v>75</v>
      </c>
      <c r="B19" s="1">
        <v>45582</v>
      </c>
      <c r="C19" t="s">
        <v>56</v>
      </c>
      <c r="D19" t="s">
        <v>76</v>
      </c>
      <c r="E19" t="s">
        <v>41</v>
      </c>
      <c r="F19">
        <v>1</v>
      </c>
      <c r="G19">
        <v>33600</v>
      </c>
      <c r="H19">
        <v>18000</v>
      </c>
      <c r="I19">
        <v>15600</v>
      </c>
      <c r="J19">
        <v>20</v>
      </c>
      <c r="K19" t="s">
        <v>25</v>
      </c>
      <c r="L19" t="s">
        <v>51</v>
      </c>
      <c r="M19" t="s">
        <v>32</v>
      </c>
      <c r="N19">
        <v>24</v>
      </c>
      <c r="O19">
        <f t="shared" si="0"/>
        <v>46.43</v>
      </c>
      <c r="P19">
        <f t="shared" si="1"/>
        <v>33600</v>
      </c>
      <c r="Q19" t="str">
        <f>VLOOKUP(C19,Customers!$A:$D,3,0)</f>
        <v>South</v>
      </c>
      <c r="R19" t="str">
        <f t="shared" si="2"/>
        <v>October</v>
      </c>
      <c r="S19">
        <f t="shared" si="3"/>
        <v>10</v>
      </c>
      <c r="T19" t="str">
        <f>VLOOKUP(C19,Customers!$A:$B,2,0)</f>
        <v>Wipro Technologies</v>
      </c>
    </row>
    <row r="20" spans="1:20">
      <c r="A20" t="s">
        <v>77</v>
      </c>
      <c r="B20" s="1">
        <v>45629</v>
      </c>
      <c r="C20" t="s">
        <v>43</v>
      </c>
      <c r="D20" t="s">
        <v>67</v>
      </c>
      <c r="E20" t="s">
        <v>54</v>
      </c>
      <c r="F20">
        <v>4</v>
      </c>
      <c r="G20">
        <v>352000</v>
      </c>
      <c r="H20">
        <v>152000</v>
      </c>
      <c r="I20">
        <v>200000</v>
      </c>
      <c r="J20">
        <v>0</v>
      </c>
      <c r="K20" t="s">
        <v>25</v>
      </c>
      <c r="L20" t="s">
        <v>58</v>
      </c>
      <c r="M20" t="s">
        <v>37</v>
      </c>
      <c r="N20">
        <v>24</v>
      </c>
      <c r="O20">
        <f t="shared" si="0"/>
        <v>56.82</v>
      </c>
      <c r="P20">
        <f t="shared" si="1"/>
        <v>88000</v>
      </c>
      <c r="Q20" t="str">
        <f>VLOOKUP(C20,Customers!$A:$D,3,0)</f>
        <v>South</v>
      </c>
      <c r="R20" t="str">
        <f t="shared" si="2"/>
        <v>December</v>
      </c>
      <c r="S20">
        <f t="shared" si="3"/>
        <v>12</v>
      </c>
      <c r="T20" t="str">
        <f>VLOOKUP(C20,Customers!$A:$B,2,0)</f>
        <v>Groww Invest</v>
      </c>
    </row>
    <row r="21" spans="1:20">
      <c r="A21" t="s">
        <v>78</v>
      </c>
      <c r="B21" s="1">
        <v>45635</v>
      </c>
      <c r="C21" t="s">
        <v>79</v>
      </c>
      <c r="D21" t="s">
        <v>80</v>
      </c>
      <c r="E21" t="s">
        <v>41</v>
      </c>
      <c r="F21">
        <v>4</v>
      </c>
      <c r="G21">
        <v>208000</v>
      </c>
      <c r="H21">
        <v>88000</v>
      </c>
      <c r="I21">
        <v>120000</v>
      </c>
      <c r="J21">
        <v>0</v>
      </c>
      <c r="K21" t="s">
        <v>30</v>
      </c>
      <c r="L21" t="s">
        <v>58</v>
      </c>
      <c r="M21" t="s">
        <v>27</v>
      </c>
      <c r="N21">
        <v>12</v>
      </c>
      <c r="O21">
        <f t="shared" si="0"/>
        <v>57.69</v>
      </c>
      <c r="P21">
        <f t="shared" si="1"/>
        <v>52000</v>
      </c>
      <c r="Q21" t="str">
        <f>VLOOKUP(C21,Customers!$A:$D,3,0)</f>
        <v>West</v>
      </c>
      <c r="R21" t="str">
        <f t="shared" si="2"/>
        <v>December</v>
      </c>
      <c r="S21">
        <f t="shared" si="3"/>
        <v>12</v>
      </c>
      <c r="T21" t="str">
        <f>VLOOKUP(C21,Customers!$A:$B,2,0)</f>
        <v>Dream11 Sports</v>
      </c>
    </row>
    <row r="22" spans="1:20">
      <c r="A22" t="s">
        <v>81</v>
      </c>
      <c r="B22" s="1">
        <v>45302</v>
      </c>
      <c r="C22" t="s">
        <v>65</v>
      </c>
      <c r="D22" t="s">
        <v>82</v>
      </c>
      <c r="E22" t="s">
        <v>54</v>
      </c>
      <c r="F22">
        <v>2</v>
      </c>
      <c r="G22">
        <v>290000</v>
      </c>
      <c r="H22">
        <v>120000</v>
      </c>
      <c r="I22">
        <v>170000</v>
      </c>
      <c r="J22">
        <v>0</v>
      </c>
      <c r="K22" t="s">
        <v>30</v>
      </c>
      <c r="L22" t="s">
        <v>31</v>
      </c>
      <c r="M22" t="s">
        <v>32</v>
      </c>
      <c r="N22">
        <v>3</v>
      </c>
      <c r="O22">
        <f t="shared" si="0"/>
        <v>58.62</v>
      </c>
      <c r="P22">
        <f t="shared" si="1"/>
        <v>145000</v>
      </c>
      <c r="Q22" t="str">
        <f>VLOOKUP(C22,Customers!$A:$D,3,0)</f>
        <v>North</v>
      </c>
      <c r="R22" t="str">
        <f t="shared" si="2"/>
        <v>January</v>
      </c>
      <c r="S22">
        <f t="shared" si="3"/>
        <v>1</v>
      </c>
      <c r="T22" t="str">
        <f>VLOOKUP(C22,Customers!$A:$B,2,0)</f>
        <v>Zomato Pvt Ltd</v>
      </c>
    </row>
    <row r="23" spans="1:20">
      <c r="A23" t="s">
        <v>83</v>
      </c>
      <c r="B23" s="1">
        <v>45308</v>
      </c>
      <c r="C23" t="s">
        <v>56</v>
      </c>
      <c r="D23" t="s">
        <v>80</v>
      </c>
      <c r="E23" t="s">
        <v>41</v>
      </c>
      <c r="F23">
        <v>2</v>
      </c>
      <c r="G23">
        <v>98800</v>
      </c>
      <c r="H23">
        <v>44000</v>
      </c>
      <c r="I23">
        <v>54800</v>
      </c>
      <c r="J23">
        <v>5</v>
      </c>
      <c r="K23" t="s">
        <v>18</v>
      </c>
      <c r="L23" t="s">
        <v>47</v>
      </c>
      <c r="M23" t="s">
        <v>32</v>
      </c>
      <c r="N23">
        <v>6</v>
      </c>
      <c r="O23">
        <f t="shared" si="0"/>
        <v>55.47</v>
      </c>
      <c r="P23">
        <f t="shared" si="1"/>
        <v>49400</v>
      </c>
      <c r="Q23" t="str">
        <f>VLOOKUP(C23,Customers!$A:$D,3,0)</f>
        <v>South</v>
      </c>
      <c r="R23" t="str">
        <f t="shared" si="2"/>
        <v>January</v>
      </c>
      <c r="S23">
        <f t="shared" si="3"/>
        <v>1</v>
      </c>
      <c r="T23" t="str">
        <f>VLOOKUP(C23,Customers!$A:$B,2,0)</f>
        <v>Wipro Technologies</v>
      </c>
    </row>
    <row r="24" spans="1:20">
      <c r="A24" t="s">
        <v>84</v>
      </c>
      <c r="B24" s="1">
        <v>45584</v>
      </c>
      <c r="C24" t="s">
        <v>65</v>
      </c>
      <c r="D24" t="s">
        <v>76</v>
      </c>
      <c r="E24" t="s">
        <v>41</v>
      </c>
      <c r="F24">
        <v>4</v>
      </c>
      <c r="G24">
        <v>168000</v>
      </c>
      <c r="H24">
        <v>72000</v>
      </c>
      <c r="I24">
        <v>96000</v>
      </c>
      <c r="J24">
        <v>0</v>
      </c>
      <c r="K24" t="s">
        <v>30</v>
      </c>
      <c r="L24" t="s">
        <v>19</v>
      </c>
      <c r="M24" t="s">
        <v>59</v>
      </c>
      <c r="N24">
        <v>12</v>
      </c>
      <c r="O24">
        <f t="shared" si="0"/>
        <v>57.14</v>
      </c>
      <c r="P24">
        <f t="shared" si="1"/>
        <v>42000</v>
      </c>
      <c r="Q24" t="str">
        <f>VLOOKUP(C24,Customers!$A:$D,3,0)</f>
        <v>North</v>
      </c>
      <c r="R24" t="str">
        <f t="shared" si="2"/>
        <v>October</v>
      </c>
      <c r="S24">
        <f t="shared" si="3"/>
        <v>10</v>
      </c>
      <c r="T24" t="str">
        <f>VLOOKUP(C24,Customers!$A:$B,2,0)</f>
        <v>Zomato Pvt Ltd</v>
      </c>
    </row>
    <row r="25" spans="1:20">
      <c r="A25" t="s">
        <v>85</v>
      </c>
      <c r="B25" s="1">
        <v>45508</v>
      </c>
      <c r="C25" t="s">
        <v>43</v>
      </c>
      <c r="D25" t="s">
        <v>86</v>
      </c>
      <c r="E25" t="s">
        <v>24</v>
      </c>
      <c r="F25">
        <v>1</v>
      </c>
      <c r="G25">
        <v>140000</v>
      </c>
      <c r="H25">
        <v>60000</v>
      </c>
      <c r="I25">
        <v>80000</v>
      </c>
      <c r="J25">
        <v>0</v>
      </c>
      <c r="K25" t="s">
        <v>30</v>
      </c>
      <c r="L25" t="s">
        <v>70</v>
      </c>
      <c r="M25" t="s">
        <v>27</v>
      </c>
      <c r="N25">
        <v>6</v>
      </c>
      <c r="O25">
        <f t="shared" si="0"/>
        <v>57.14</v>
      </c>
      <c r="P25">
        <f t="shared" si="1"/>
        <v>140000</v>
      </c>
      <c r="Q25" t="str">
        <f>VLOOKUP(C25,Customers!$A:$D,3,0)</f>
        <v>South</v>
      </c>
      <c r="R25" t="str">
        <f t="shared" si="2"/>
        <v>August</v>
      </c>
      <c r="S25">
        <f t="shared" si="3"/>
        <v>8</v>
      </c>
      <c r="T25" t="str">
        <f>VLOOKUP(C25,Customers!$A:$B,2,0)</f>
        <v>Groww Invest</v>
      </c>
    </row>
    <row r="26" spans="1:20">
      <c r="A26" t="s">
        <v>87</v>
      </c>
      <c r="B26" s="1">
        <v>45619</v>
      </c>
      <c r="C26" t="s">
        <v>88</v>
      </c>
      <c r="D26" t="s">
        <v>89</v>
      </c>
      <c r="E26" t="s">
        <v>45</v>
      </c>
      <c r="F26">
        <v>2</v>
      </c>
      <c r="G26">
        <v>304000</v>
      </c>
      <c r="H26">
        <v>140000</v>
      </c>
      <c r="I26">
        <v>164000</v>
      </c>
      <c r="J26">
        <v>5</v>
      </c>
      <c r="K26" t="s">
        <v>30</v>
      </c>
      <c r="L26" t="s">
        <v>58</v>
      </c>
      <c r="M26" t="s">
        <v>27</v>
      </c>
      <c r="N26">
        <v>24</v>
      </c>
      <c r="O26">
        <f t="shared" si="0"/>
        <v>53.95</v>
      </c>
      <c r="P26">
        <f t="shared" si="1"/>
        <v>152000</v>
      </c>
      <c r="Q26" t="str">
        <f>VLOOKUP(C26,Customers!$A:$D,3,0)</f>
        <v>West</v>
      </c>
      <c r="R26" t="str">
        <f t="shared" si="2"/>
        <v>November</v>
      </c>
      <c r="S26">
        <f t="shared" si="3"/>
        <v>11</v>
      </c>
      <c r="T26" t="str">
        <f>VLOOKUP(C26,Customers!$A:$B,2,0)</f>
        <v>Reliance Digital</v>
      </c>
    </row>
    <row r="27" spans="1:20">
      <c r="A27" t="s">
        <v>90</v>
      </c>
      <c r="B27" s="1">
        <v>45645</v>
      </c>
      <c r="C27" t="s">
        <v>91</v>
      </c>
      <c r="D27" t="s">
        <v>92</v>
      </c>
      <c r="E27" t="s">
        <v>24</v>
      </c>
      <c r="F27">
        <v>1</v>
      </c>
      <c r="G27">
        <v>144000</v>
      </c>
      <c r="H27">
        <v>80000</v>
      </c>
      <c r="I27">
        <v>64000</v>
      </c>
      <c r="J27">
        <v>20</v>
      </c>
      <c r="K27" t="s">
        <v>30</v>
      </c>
      <c r="L27" t="s">
        <v>51</v>
      </c>
      <c r="M27" t="s">
        <v>59</v>
      </c>
      <c r="N27">
        <v>24</v>
      </c>
      <c r="O27">
        <f t="shared" si="0"/>
        <v>44.44</v>
      </c>
      <c r="P27">
        <f t="shared" si="1"/>
        <v>144000</v>
      </c>
      <c r="Q27" t="str">
        <f>VLOOKUP(C27,Customers!$A:$D,3,0)</f>
        <v>South</v>
      </c>
      <c r="R27" t="str">
        <f t="shared" si="2"/>
        <v>December</v>
      </c>
      <c r="S27">
        <f t="shared" si="3"/>
        <v>12</v>
      </c>
      <c r="T27" t="str">
        <f>VLOOKUP(C27,Customers!$A:$B,2,0)</f>
        <v>CRED Fintech</v>
      </c>
    </row>
    <row r="28" spans="1:20">
      <c r="A28" t="s">
        <v>93</v>
      </c>
      <c r="B28" s="1">
        <v>45613</v>
      </c>
      <c r="C28" t="s">
        <v>94</v>
      </c>
      <c r="D28" t="s">
        <v>86</v>
      </c>
      <c r="E28" t="s">
        <v>24</v>
      </c>
      <c r="F28">
        <v>2</v>
      </c>
      <c r="G28">
        <v>266000</v>
      </c>
      <c r="H28">
        <v>120000</v>
      </c>
      <c r="I28">
        <v>146000</v>
      </c>
      <c r="J28">
        <v>5</v>
      </c>
      <c r="K28" t="s">
        <v>30</v>
      </c>
      <c r="L28" t="s">
        <v>95</v>
      </c>
      <c r="M28" t="s">
        <v>37</v>
      </c>
      <c r="N28">
        <v>24</v>
      </c>
      <c r="O28">
        <f t="shared" si="0"/>
        <v>54.89</v>
      </c>
      <c r="P28">
        <f t="shared" si="1"/>
        <v>133000</v>
      </c>
      <c r="Q28" t="str">
        <f>VLOOKUP(C28,Customers!$A:$D,3,0)</f>
        <v>South</v>
      </c>
      <c r="R28" t="str">
        <f t="shared" si="2"/>
        <v>November</v>
      </c>
      <c r="S28">
        <f t="shared" si="3"/>
        <v>11</v>
      </c>
      <c r="T28" t="str">
        <f>VLOOKUP(C28,Customers!$A:$B,2,0)</f>
        <v>PhonePe Pay</v>
      </c>
    </row>
    <row r="29" spans="1:20">
      <c r="A29" t="s">
        <v>96</v>
      </c>
      <c r="B29" s="1">
        <v>45438</v>
      </c>
      <c r="C29" t="s">
        <v>39</v>
      </c>
      <c r="D29" t="s">
        <v>53</v>
      </c>
      <c r="E29" t="s">
        <v>54</v>
      </c>
      <c r="F29">
        <v>4</v>
      </c>
      <c r="G29">
        <v>800000</v>
      </c>
      <c r="H29">
        <v>340000</v>
      </c>
      <c r="I29">
        <v>460000</v>
      </c>
      <c r="J29">
        <v>0</v>
      </c>
      <c r="K29" t="s">
        <v>30</v>
      </c>
      <c r="L29" t="s">
        <v>97</v>
      </c>
      <c r="M29" t="s">
        <v>32</v>
      </c>
      <c r="N29">
        <v>3</v>
      </c>
      <c r="O29">
        <f t="shared" si="0"/>
        <v>57.5</v>
      </c>
      <c r="P29">
        <f t="shared" si="1"/>
        <v>200000</v>
      </c>
      <c r="Q29" t="str">
        <f>VLOOKUP(C29,Customers!$A:$D,3,0)</f>
        <v>North</v>
      </c>
      <c r="R29" t="str">
        <f t="shared" si="2"/>
        <v>May</v>
      </c>
      <c r="S29">
        <f t="shared" si="3"/>
        <v>5</v>
      </c>
      <c r="T29" t="str">
        <f>VLOOKUP(C29,Customers!$A:$B,2,0)</f>
        <v>Amazon India</v>
      </c>
    </row>
    <row r="30" spans="1:20">
      <c r="A30" t="s">
        <v>98</v>
      </c>
      <c r="B30" s="1">
        <v>45588</v>
      </c>
      <c r="C30" t="s">
        <v>99</v>
      </c>
      <c r="D30" t="s">
        <v>35</v>
      </c>
      <c r="E30" t="s">
        <v>36</v>
      </c>
      <c r="F30">
        <v>1</v>
      </c>
      <c r="G30">
        <v>65000</v>
      </c>
      <c r="H30">
        <v>28000</v>
      </c>
      <c r="I30">
        <v>37000</v>
      </c>
      <c r="J30">
        <v>0</v>
      </c>
      <c r="K30" t="s">
        <v>25</v>
      </c>
      <c r="L30" t="s">
        <v>47</v>
      </c>
      <c r="M30" t="s">
        <v>20</v>
      </c>
      <c r="N30">
        <v>6</v>
      </c>
      <c r="O30">
        <f t="shared" si="0"/>
        <v>56.92</v>
      </c>
      <c r="P30">
        <f t="shared" si="1"/>
        <v>65000</v>
      </c>
      <c r="Q30" t="str">
        <f>VLOOKUP(C30,Customers!$A:$D,3,0)</f>
        <v>West</v>
      </c>
      <c r="R30" t="str">
        <f t="shared" si="2"/>
        <v>October</v>
      </c>
      <c r="S30">
        <f t="shared" si="3"/>
        <v>10</v>
      </c>
      <c r="T30" t="str">
        <f>VLOOKUP(C30,Customers!$A:$B,2,0)</f>
        <v>Tata Consultancy</v>
      </c>
    </row>
    <row r="31" spans="1:20">
      <c r="A31" t="s">
        <v>100</v>
      </c>
      <c r="B31" s="1">
        <v>45321</v>
      </c>
      <c r="C31" t="s">
        <v>56</v>
      </c>
      <c r="D31" t="s">
        <v>101</v>
      </c>
      <c r="E31" t="s">
        <v>62</v>
      </c>
      <c r="F31">
        <v>1</v>
      </c>
      <c r="G31">
        <v>72000</v>
      </c>
      <c r="H31">
        <v>35000</v>
      </c>
      <c r="I31">
        <v>37000</v>
      </c>
      <c r="J31">
        <v>10</v>
      </c>
      <c r="K31" t="s">
        <v>30</v>
      </c>
      <c r="L31" t="s">
        <v>58</v>
      </c>
      <c r="M31" t="s">
        <v>59</v>
      </c>
      <c r="N31">
        <v>3</v>
      </c>
      <c r="O31">
        <f t="shared" si="0"/>
        <v>51.39</v>
      </c>
      <c r="P31">
        <f t="shared" si="1"/>
        <v>72000</v>
      </c>
      <c r="Q31" t="str">
        <f>VLOOKUP(C31,Customers!$A:$D,3,0)</f>
        <v>South</v>
      </c>
      <c r="R31" t="str">
        <f t="shared" si="2"/>
        <v>January</v>
      </c>
      <c r="S31">
        <f t="shared" si="3"/>
        <v>1</v>
      </c>
      <c r="T31" t="str">
        <f>VLOOKUP(C31,Customers!$A:$B,2,0)</f>
        <v>Wipro Technologies</v>
      </c>
    </row>
    <row r="32" spans="1:20">
      <c r="A32" t="s">
        <v>102</v>
      </c>
      <c r="B32" s="1">
        <v>45638</v>
      </c>
      <c r="C32" t="s">
        <v>99</v>
      </c>
      <c r="D32" t="s">
        <v>67</v>
      </c>
      <c r="E32" t="s">
        <v>54</v>
      </c>
      <c r="F32">
        <v>1</v>
      </c>
      <c r="G32">
        <v>83600</v>
      </c>
      <c r="H32">
        <v>38000</v>
      </c>
      <c r="I32">
        <v>45600</v>
      </c>
      <c r="J32">
        <v>5</v>
      </c>
      <c r="K32" t="s">
        <v>18</v>
      </c>
      <c r="L32" t="s">
        <v>26</v>
      </c>
      <c r="M32" t="s">
        <v>20</v>
      </c>
      <c r="N32">
        <v>12</v>
      </c>
      <c r="O32">
        <f t="shared" si="0"/>
        <v>54.55</v>
      </c>
      <c r="P32">
        <f t="shared" si="1"/>
        <v>83600</v>
      </c>
      <c r="Q32" t="str">
        <f>VLOOKUP(C32,Customers!$A:$D,3,0)</f>
        <v>West</v>
      </c>
      <c r="R32" t="str">
        <f t="shared" si="2"/>
        <v>December</v>
      </c>
      <c r="S32">
        <f t="shared" si="3"/>
        <v>12</v>
      </c>
      <c r="T32" t="str">
        <f>VLOOKUP(C32,Customers!$A:$B,2,0)</f>
        <v>Tata Consultancy</v>
      </c>
    </row>
    <row r="33" spans="1:20">
      <c r="A33" t="s">
        <v>103</v>
      </c>
      <c r="B33" s="1">
        <v>45653</v>
      </c>
      <c r="C33" t="s">
        <v>104</v>
      </c>
      <c r="D33" t="s">
        <v>16</v>
      </c>
      <c r="E33" t="s">
        <v>17</v>
      </c>
      <c r="F33">
        <v>3</v>
      </c>
      <c r="G33">
        <v>199500</v>
      </c>
      <c r="H33">
        <v>90000</v>
      </c>
      <c r="I33">
        <v>109500</v>
      </c>
      <c r="J33">
        <v>5</v>
      </c>
      <c r="K33" t="s">
        <v>30</v>
      </c>
      <c r="L33" t="s">
        <v>97</v>
      </c>
      <c r="M33" t="s">
        <v>59</v>
      </c>
      <c r="N33">
        <v>12</v>
      </c>
      <c r="O33">
        <f t="shared" si="0"/>
        <v>54.89</v>
      </c>
      <c r="P33">
        <f t="shared" si="1"/>
        <v>66500</v>
      </c>
      <c r="Q33" t="str">
        <f>VLOOKUP(C33,Customers!$A:$D,3,0)</f>
        <v>South</v>
      </c>
      <c r="R33" t="str">
        <f t="shared" si="2"/>
        <v>December</v>
      </c>
      <c r="S33">
        <f t="shared" si="3"/>
        <v>12</v>
      </c>
      <c r="T33" t="str">
        <f>VLOOKUP(C33,Customers!$A:$B,2,0)</f>
        <v>Ola Cabs</v>
      </c>
    </row>
    <row r="34" spans="1:20">
      <c r="A34" t="s">
        <v>105</v>
      </c>
      <c r="B34" s="1">
        <v>45641</v>
      </c>
      <c r="C34" t="s">
        <v>106</v>
      </c>
      <c r="D34" t="s">
        <v>69</v>
      </c>
      <c r="E34" t="s">
        <v>62</v>
      </c>
      <c r="F34">
        <v>1</v>
      </c>
      <c r="G34">
        <v>85500</v>
      </c>
      <c r="H34">
        <v>40000</v>
      </c>
      <c r="I34">
        <v>45500</v>
      </c>
      <c r="J34">
        <v>10</v>
      </c>
      <c r="K34" t="s">
        <v>30</v>
      </c>
      <c r="L34" t="s">
        <v>63</v>
      </c>
      <c r="M34" t="s">
        <v>37</v>
      </c>
      <c r="N34">
        <v>6</v>
      </c>
      <c r="O34">
        <f t="shared" si="0"/>
        <v>53.22</v>
      </c>
      <c r="P34">
        <f t="shared" si="1"/>
        <v>85500</v>
      </c>
      <c r="Q34" t="str">
        <f>VLOOKUP(C34,Customers!$A:$D,3,0)</f>
        <v>North</v>
      </c>
      <c r="R34" t="str">
        <f t="shared" si="2"/>
        <v>December</v>
      </c>
      <c r="S34">
        <f t="shared" si="3"/>
        <v>12</v>
      </c>
      <c r="T34" t="str">
        <f>VLOOKUP(C34,Customers!$A:$B,2,0)</f>
        <v>Urban Company</v>
      </c>
    </row>
    <row r="35" spans="1:20">
      <c r="A35" t="s">
        <v>107</v>
      </c>
      <c r="B35" s="1">
        <v>45470</v>
      </c>
      <c r="C35" t="s">
        <v>94</v>
      </c>
      <c r="D35" t="s">
        <v>16</v>
      </c>
      <c r="E35" t="s">
        <v>17</v>
      </c>
      <c r="F35">
        <v>3</v>
      </c>
      <c r="G35">
        <v>199500</v>
      </c>
      <c r="H35">
        <v>90000</v>
      </c>
      <c r="I35">
        <v>109500</v>
      </c>
      <c r="J35">
        <v>5</v>
      </c>
      <c r="K35" t="s">
        <v>30</v>
      </c>
      <c r="L35" t="s">
        <v>47</v>
      </c>
      <c r="M35" t="s">
        <v>20</v>
      </c>
      <c r="N35">
        <v>12</v>
      </c>
      <c r="O35">
        <f t="shared" si="0"/>
        <v>54.89</v>
      </c>
      <c r="P35">
        <f t="shared" si="1"/>
        <v>66500</v>
      </c>
      <c r="Q35" t="str">
        <f>VLOOKUP(C35,Customers!$A:$D,3,0)</f>
        <v>South</v>
      </c>
      <c r="R35" t="str">
        <f t="shared" si="2"/>
        <v>June</v>
      </c>
      <c r="S35">
        <f t="shared" si="3"/>
        <v>6</v>
      </c>
      <c r="T35" t="str">
        <f>VLOOKUP(C35,Customers!$A:$B,2,0)</f>
        <v>PhonePe Pay</v>
      </c>
    </row>
    <row r="36" spans="1:20">
      <c r="A36" t="s">
        <v>108</v>
      </c>
      <c r="B36" s="1">
        <v>45605</v>
      </c>
      <c r="C36" t="s">
        <v>109</v>
      </c>
      <c r="D36" t="s">
        <v>80</v>
      </c>
      <c r="E36" t="s">
        <v>41</v>
      </c>
      <c r="F36">
        <v>1</v>
      </c>
      <c r="G36">
        <v>44200</v>
      </c>
      <c r="H36">
        <v>22000</v>
      </c>
      <c r="I36">
        <v>22200</v>
      </c>
      <c r="J36">
        <v>15</v>
      </c>
      <c r="K36" t="s">
        <v>25</v>
      </c>
      <c r="L36" t="s">
        <v>97</v>
      </c>
      <c r="M36" t="s">
        <v>27</v>
      </c>
      <c r="N36">
        <v>6</v>
      </c>
      <c r="O36">
        <f t="shared" si="0"/>
        <v>50.23</v>
      </c>
      <c r="P36">
        <f t="shared" si="1"/>
        <v>44200</v>
      </c>
      <c r="Q36" t="str">
        <f>VLOOKUP(C36,Customers!$A:$D,3,0)</f>
        <v>North</v>
      </c>
      <c r="R36" t="str">
        <f t="shared" si="2"/>
        <v>November</v>
      </c>
      <c r="S36">
        <f t="shared" si="3"/>
        <v>11</v>
      </c>
      <c r="T36" t="str">
        <f>VLOOKUP(C36,Customers!$A:$B,2,0)</f>
        <v>MakeMyTrip</v>
      </c>
    </row>
    <row r="37" spans="1:20">
      <c r="A37" t="s">
        <v>110</v>
      </c>
      <c r="B37" s="1">
        <v>45575</v>
      </c>
      <c r="C37" t="s">
        <v>39</v>
      </c>
      <c r="D37" t="s">
        <v>53</v>
      </c>
      <c r="E37" t="s">
        <v>54</v>
      </c>
      <c r="F37">
        <v>2</v>
      </c>
      <c r="G37">
        <v>380000</v>
      </c>
      <c r="H37">
        <v>170000</v>
      </c>
      <c r="I37">
        <v>210000</v>
      </c>
      <c r="J37">
        <v>5</v>
      </c>
      <c r="K37" t="s">
        <v>30</v>
      </c>
      <c r="L37" t="s">
        <v>26</v>
      </c>
      <c r="M37" t="s">
        <v>32</v>
      </c>
      <c r="N37">
        <v>12</v>
      </c>
      <c r="O37">
        <f t="shared" si="0"/>
        <v>55.26</v>
      </c>
      <c r="P37">
        <f t="shared" si="1"/>
        <v>190000</v>
      </c>
      <c r="Q37" t="str">
        <f>VLOOKUP(C37,Customers!$A:$D,3,0)</f>
        <v>North</v>
      </c>
      <c r="R37" t="str">
        <f t="shared" si="2"/>
        <v>October</v>
      </c>
      <c r="S37">
        <f t="shared" si="3"/>
        <v>10</v>
      </c>
      <c r="T37" t="str">
        <f>VLOOKUP(C37,Customers!$A:$B,2,0)</f>
        <v>Amazon India</v>
      </c>
    </row>
    <row r="38" spans="1:20">
      <c r="A38" t="s">
        <v>111</v>
      </c>
      <c r="B38" s="1">
        <v>45396</v>
      </c>
      <c r="C38" t="s">
        <v>43</v>
      </c>
      <c r="D38" t="s">
        <v>50</v>
      </c>
      <c r="E38" t="s">
        <v>17</v>
      </c>
      <c r="F38">
        <v>5</v>
      </c>
      <c r="G38">
        <v>237500</v>
      </c>
      <c r="H38">
        <v>100000</v>
      </c>
      <c r="I38">
        <v>137500</v>
      </c>
      <c r="J38">
        <v>5</v>
      </c>
      <c r="K38" t="s">
        <v>30</v>
      </c>
      <c r="L38" t="s">
        <v>31</v>
      </c>
      <c r="M38" t="s">
        <v>27</v>
      </c>
      <c r="N38">
        <v>24</v>
      </c>
      <c r="O38">
        <f t="shared" si="0"/>
        <v>57.89</v>
      </c>
      <c r="P38">
        <f t="shared" si="1"/>
        <v>47500</v>
      </c>
      <c r="Q38" t="str">
        <f>VLOOKUP(C38,Customers!$A:$D,3,0)</f>
        <v>South</v>
      </c>
      <c r="R38" t="str">
        <f t="shared" si="2"/>
        <v>April</v>
      </c>
      <c r="S38">
        <f t="shared" si="3"/>
        <v>4</v>
      </c>
      <c r="T38" t="str">
        <f>VLOOKUP(C38,Customers!$A:$B,2,0)</f>
        <v>Groww Invest</v>
      </c>
    </row>
    <row r="39" spans="1:20">
      <c r="A39" t="s">
        <v>112</v>
      </c>
      <c r="B39" s="1">
        <v>45604</v>
      </c>
      <c r="C39" t="s">
        <v>34</v>
      </c>
      <c r="D39" t="s">
        <v>61</v>
      </c>
      <c r="E39" t="s">
        <v>62</v>
      </c>
      <c r="F39">
        <v>3</v>
      </c>
      <c r="G39">
        <v>660000</v>
      </c>
      <c r="H39">
        <v>270000</v>
      </c>
      <c r="I39">
        <v>390000</v>
      </c>
      <c r="J39">
        <v>0</v>
      </c>
      <c r="K39" t="s">
        <v>18</v>
      </c>
      <c r="L39" t="s">
        <v>47</v>
      </c>
      <c r="M39" t="s">
        <v>20</v>
      </c>
      <c r="N39">
        <v>24</v>
      </c>
      <c r="O39">
        <f t="shared" si="0"/>
        <v>59.09</v>
      </c>
      <c r="P39">
        <f t="shared" si="1"/>
        <v>220000</v>
      </c>
      <c r="Q39" t="str">
        <f>VLOOKUP(C39,Customers!$A:$D,3,0)</f>
        <v>North</v>
      </c>
      <c r="R39" t="str">
        <f t="shared" si="2"/>
        <v>November</v>
      </c>
      <c r="S39">
        <f t="shared" si="3"/>
        <v>11</v>
      </c>
      <c r="T39" t="str">
        <f>VLOOKUP(C39,Customers!$A:$B,2,0)</f>
        <v>Snapdeal Ltd</v>
      </c>
    </row>
    <row r="40" spans="1:20">
      <c r="A40" t="s">
        <v>113</v>
      </c>
      <c r="B40" s="1">
        <v>45571</v>
      </c>
      <c r="C40" t="s">
        <v>94</v>
      </c>
      <c r="D40" t="s">
        <v>61</v>
      </c>
      <c r="E40" t="s">
        <v>62</v>
      </c>
      <c r="F40">
        <v>5</v>
      </c>
      <c r="G40">
        <v>1100000</v>
      </c>
      <c r="H40">
        <v>450000</v>
      </c>
      <c r="I40">
        <v>650000</v>
      </c>
      <c r="J40">
        <v>0</v>
      </c>
      <c r="K40" t="s">
        <v>30</v>
      </c>
      <c r="L40" t="s">
        <v>26</v>
      </c>
      <c r="M40" t="s">
        <v>20</v>
      </c>
      <c r="N40">
        <v>6</v>
      </c>
      <c r="O40">
        <f t="shared" si="0"/>
        <v>59.09</v>
      </c>
      <c r="P40">
        <f t="shared" si="1"/>
        <v>220000</v>
      </c>
      <c r="Q40" t="str">
        <f>VLOOKUP(C40,Customers!$A:$D,3,0)</f>
        <v>South</v>
      </c>
      <c r="R40" t="str">
        <f t="shared" si="2"/>
        <v>October</v>
      </c>
      <c r="S40">
        <f t="shared" si="3"/>
        <v>10</v>
      </c>
      <c r="T40" t="str">
        <f>VLOOKUP(C40,Customers!$A:$B,2,0)</f>
        <v>PhonePe Pay</v>
      </c>
    </row>
    <row r="41" spans="1:20">
      <c r="A41" t="s">
        <v>114</v>
      </c>
      <c r="B41" s="1">
        <v>45601</v>
      </c>
      <c r="C41" t="s">
        <v>115</v>
      </c>
      <c r="D41" t="s">
        <v>86</v>
      </c>
      <c r="E41" t="s">
        <v>24</v>
      </c>
      <c r="F41">
        <v>3</v>
      </c>
      <c r="G41">
        <v>420000</v>
      </c>
      <c r="H41">
        <v>180000</v>
      </c>
      <c r="I41">
        <v>240000</v>
      </c>
      <c r="J41">
        <v>0</v>
      </c>
      <c r="K41" t="s">
        <v>18</v>
      </c>
      <c r="L41" t="s">
        <v>58</v>
      </c>
      <c r="M41" t="s">
        <v>27</v>
      </c>
      <c r="N41">
        <v>12</v>
      </c>
      <c r="O41">
        <f t="shared" si="0"/>
        <v>57.14</v>
      </c>
      <c r="P41">
        <f t="shared" si="1"/>
        <v>140000</v>
      </c>
      <c r="Q41" t="str">
        <f>VLOOKUP(C41,Customers!$A:$D,3,0)</f>
        <v>North</v>
      </c>
      <c r="R41" t="str">
        <f t="shared" si="2"/>
        <v>November</v>
      </c>
      <c r="S41">
        <f t="shared" si="3"/>
        <v>11</v>
      </c>
      <c r="T41" t="str">
        <f>VLOOKUP(C41,Customers!$A:$B,2,0)</f>
        <v>Paytm Services</v>
      </c>
    </row>
    <row r="42" spans="1:20">
      <c r="A42" t="s">
        <v>116</v>
      </c>
      <c r="B42" s="1">
        <v>45578</v>
      </c>
      <c r="C42" t="s">
        <v>29</v>
      </c>
      <c r="D42" t="s">
        <v>67</v>
      </c>
      <c r="E42" t="s">
        <v>54</v>
      </c>
      <c r="F42">
        <v>2</v>
      </c>
      <c r="G42">
        <v>176000</v>
      </c>
      <c r="H42">
        <v>76000</v>
      </c>
      <c r="I42">
        <v>100000</v>
      </c>
      <c r="J42">
        <v>0</v>
      </c>
      <c r="K42" t="s">
        <v>30</v>
      </c>
      <c r="L42" t="s">
        <v>51</v>
      </c>
      <c r="M42" t="s">
        <v>59</v>
      </c>
      <c r="N42">
        <v>3</v>
      </c>
      <c r="O42">
        <f t="shared" si="0"/>
        <v>56.82</v>
      </c>
      <c r="P42">
        <f t="shared" si="1"/>
        <v>88000</v>
      </c>
      <c r="Q42" t="str">
        <f>VLOOKUP(C42,Customers!$A:$D,3,0)</f>
        <v>South</v>
      </c>
      <c r="R42" t="str">
        <f t="shared" si="2"/>
        <v>October</v>
      </c>
      <c r="S42">
        <f t="shared" si="3"/>
        <v>10</v>
      </c>
      <c r="T42" t="str">
        <f>VLOOKUP(C42,Customers!$A:$B,2,0)</f>
        <v>Meesho Network</v>
      </c>
    </row>
    <row r="43" spans="1:20">
      <c r="A43" t="s">
        <v>117</v>
      </c>
      <c r="B43" s="1">
        <v>45383</v>
      </c>
      <c r="C43" t="s">
        <v>104</v>
      </c>
      <c r="D43" t="s">
        <v>89</v>
      </c>
      <c r="E43" t="s">
        <v>45</v>
      </c>
      <c r="F43">
        <v>2</v>
      </c>
      <c r="G43">
        <v>304000</v>
      </c>
      <c r="H43">
        <v>140000</v>
      </c>
      <c r="I43">
        <v>164000</v>
      </c>
      <c r="J43">
        <v>5</v>
      </c>
      <c r="K43" t="s">
        <v>30</v>
      </c>
      <c r="L43" t="s">
        <v>19</v>
      </c>
      <c r="M43" t="s">
        <v>59</v>
      </c>
      <c r="N43">
        <v>3</v>
      </c>
      <c r="O43">
        <f t="shared" si="0"/>
        <v>53.95</v>
      </c>
      <c r="P43">
        <f t="shared" si="1"/>
        <v>152000</v>
      </c>
      <c r="Q43" t="str">
        <f>VLOOKUP(C43,Customers!$A:$D,3,0)</f>
        <v>South</v>
      </c>
      <c r="R43" t="str">
        <f t="shared" si="2"/>
        <v>April</v>
      </c>
      <c r="S43">
        <f t="shared" si="3"/>
        <v>4</v>
      </c>
      <c r="T43" t="str">
        <f>VLOOKUP(C43,Customers!$A:$B,2,0)</f>
        <v>Ola Cabs</v>
      </c>
    </row>
    <row r="44" spans="1:20">
      <c r="A44" t="s">
        <v>118</v>
      </c>
      <c r="B44" s="1">
        <v>45620</v>
      </c>
      <c r="C44" t="s">
        <v>115</v>
      </c>
      <c r="D44" t="s">
        <v>119</v>
      </c>
      <c r="E44" t="s">
        <v>36</v>
      </c>
      <c r="F44">
        <v>2</v>
      </c>
      <c r="G44">
        <v>200000</v>
      </c>
      <c r="H44">
        <v>90000</v>
      </c>
      <c r="I44">
        <v>110000</v>
      </c>
      <c r="J44">
        <v>0</v>
      </c>
      <c r="K44" t="s">
        <v>30</v>
      </c>
      <c r="L44" t="s">
        <v>58</v>
      </c>
      <c r="M44" t="s">
        <v>59</v>
      </c>
      <c r="N44">
        <v>12</v>
      </c>
      <c r="O44">
        <f t="shared" si="0"/>
        <v>55</v>
      </c>
      <c r="P44">
        <f t="shared" si="1"/>
        <v>100000</v>
      </c>
      <c r="Q44" t="str">
        <f>VLOOKUP(C44,Customers!$A:$D,3,0)</f>
        <v>North</v>
      </c>
      <c r="R44" t="str">
        <f t="shared" si="2"/>
        <v>November</v>
      </c>
      <c r="S44">
        <f t="shared" si="3"/>
        <v>11</v>
      </c>
      <c r="T44" t="str">
        <f>VLOOKUP(C44,Customers!$A:$B,2,0)</f>
        <v>Paytm Services</v>
      </c>
    </row>
    <row r="45" spans="1:20">
      <c r="A45" t="s">
        <v>120</v>
      </c>
      <c r="B45" s="1">
        <v>45434</v>
      </c>
      <c r="C45" t="s">
        <v>34</v>
      </c>
      <c r="D45" t="s">
        <v>50</v>
      </c>
      <c r="E45" t="s">
        <v>17</v>
      </c>
      <c r="F45">
        <v>3</v>
      </c>
      <c r="G45">
        <v>127500</v>
      </c>
      <c r="H45">
        <v>60000</v>
      </c>
      <c r="I45">
        <v>67500</v>
      </c>
      <c r="J45">
        <v>15</v>
      </c>
      <c r="K45" t="s">
        <v>25</v>
      </c>
      <c r="L45" t="s">
        <v>95</v>
      </c>
      <c r="M45" t="s">
        <v>20</v>
      </c>
      <c r="N45">
        <v>12</v>
      </c>
      <c r="O45">
        <f t="shared" si="0"/>
        <v>52.94</v>
      </c>
      <c r="P45">
        <f t="shared" si="1"/>
        <v>42500</v>
      </c>
      <c r="Q45" t="str">
        <f>VLOOKUP(C45,Customers!$A:$D,3,0)</f>
        <v>North</v>
      </c>
      <c r="R45" t="str">
        <f t="shared" si="2"/>
        <v>May</v>
      </c>
      <c r="S45">
        <f t="shared" si="3"/>
        <v>5</v>
      </c>
      <c r="T45" t="str">
        <f>VLOOKUP(C45,Customers!$A:$B,2,0)</f>
        <v>Snapdeal Ltd</v>
      </c>
    </row>
    <row r="46" spans="1:20">
      <c r="A46" t="s">
        <v>121</v>
      </c>
      <c r="B46" s="1">
        <v>45595</v>
      </c>
      <c r="C46" t="s">
        <v>122</v>
      </c>
      <c r="D46" t="s">
        <v>82</v>
      </c>
      <c r="E46" t="s">
        <v>54</v>
      </c>
      <c r="F46">
        <v>3</v>
      </c>
      <c r="G46">
        <v>435000</v>
      </c>
      <c r="H46">
        <v>180000</v>
      </c>
      <c r="I46">
        <v>255000</v>
      </c>
      <c r="J46">
        <v>0</v>
      </c>
      <c r="K46" t="s">
        <v>30</v>
      </c>
      <c r="L46" t="s">
        <v>26</v>
      </c>
      <c r="M46" t="s">
        <v>59</v>
      </c>
      <c r="N46">
        <v>12</v>
      </c>
      <c r="O46">
        <f t="shared" si="0"/>
        <v>58.62</v>
      </c>
      <c r="P46">
        <f t="shared" si="1"/>
        <v>145000</v>
      </c>
      <c r="Q46" t="str">
        <f>VLOOKUP(C46,Customers!$A:$D,3,0)</f>
        <v>West</v>
      </c>
      <c r="R46" t="str">
        <f t="shared" si="2"/>
        <v>October</v>
      </c>
      <c r="S46">
        <f t="shared" si="3"/>
        <v>10</v>
      </c>
      <c r="T46" t="str">
        <f>VLOOKUP(C46,Customers!$A:$B,2,0)</f>
        <v>HDFC Bank</v>
      </c>
    </row>
    <row r="47" spans="1:20">
      <c r="A47" t="s">
        <v>123</v>
      </c>
      <c r="B47" s="1">
        <v>45452</v>
      </c>
      <c r="C47" t="s">
        <v>124</v>
      </c>
      <c r="D47" t="s">
        <v>69</v>
      </c>
      <c r="E47" t="s">
        <v>62</v>
      </c>
      <c r="F47">
        <v>4</v>
      </c>
      <c r="G47">
        <v>342000</v>
      </c>
      <c r="H47">
        <v>160000</v>
      </c>
      <c r="I47">
        <v>182000</v>
      </c>
      <c r="J47">
        <v>10</v>
      </c>
      <c r="K47" t="s">
        <v>30</v>
      </c>
      <c r="L47" t="s">
        <v>97</v>
      </c>
      <c r="M47" t="s">
        <v>27</v>
      </c>
      <c r="N47">
        <v>24</v>
      </c>
      <c r="O47">
        <f t="shared" si="0"/>
        <v>53.22</v>
      </c>
      <c r="P47">
        <f t="shared" si="1"/>
        <v>85500</v>
      </c>
      <c r="Q47" t="str">
        <f>VLOOKUP(C47,Customers!$A:$D,3,0)</f>
        <v>South</v>
      </c>
      <c r="R47" t="str">
        <f t="shared" si="2"/>
        <v>June</v>
      </c>
      <c r="S47">
        <f t="shared" si="3"/>
        <v>6</v>
      </c>
      <c r="T47" t="str">
        <f>VLOOKUP(C47,Customers!$A:$B,2,0)</f>
        <v>Zerodha Capital</v>
      </c>
    </row>
    <row r="48" spans="1:20">
      <c r="A48" t="s">
        <v>125</v>
      </c>
      <c r="B48" s="1">
        <v>45292</v>
      </c>
      <c r="C48" t="s">
        <v>109</v>
      </c>
      <c r="D48" t="s">
        <v>53</v>
      </c>
      <c r="E48" t="s">
        <v>54</v>
      </c>
      <c r="F48">
        <v>2</v>
      </c>
      <c r="G48">
        <v>380000</v>
      </c>
      <c r="H48">
        <v>170000</v>
      </c>
      <c r="I48">
        <v>210000</v>
      </c>
      <c r="J48">
        <v>5</v>
      </c>
      <c r="K48" t="s">
        <v>30</v>
      </c>
      <c r="L48" t="s">
        <v>19</v>
      </c>
      <c r="M48" t="s">
        <v>37</v>
      </c>
      <c r="N48">
        <v>12</v>
      </c>
      <c r="O48">
        <f t="shared" si="0"/>
        <v>55.26</v>
      </c>
      <c r="P48">
        <f t="shared" si="1"/>
        <v>190000</v>
      </c>
      <c r="Q48" t="str">
        <f>VLOOKUP(C48,Customers!$A:$D,3,0)</f>
        <v>North</v>
      </c>
      <c r="R48" t="str">
        <f t="shared" si="2"/>
        <v>January</v>
      </c>
      <c r="S48">
        <f t="shared" si="3"/>
        <v>1</v>
      </c>
      <c r="T48" t="str">
        <f>VLOOKUP(C48,Customers!$A:$B,2,0)</f>
        <v>MakeMyTrip</v>
      </c>
    </row>
    <row r="49" spans="1:20">
      <c r="A49" t="s">
        <v>126</v>
      </c>
      <c r="B49" s="1">
        <v>45631</v>
      </c>
      <c r="C49" t="s">
        <v>39</v>
      </c>
      <c r="D49" t="s">
        <v>119</v>
      </c>
      <c r="E49" t="s">
        <v>36</v>
      </c>
      <c r="F49">
        <v>5</v>
      </c>
      <c r="G49">
        <v>475000</v>
      </c>
      <c r="H49">
        <v>225000</v>
      </c>
      <c r="I49">
        <v>250000</v>
      </c>
      <c r="J49">
        <v>5</v>
      </c>
      <c r="K49" t="s">
        <v>18</v>
      </c>
      <c r="L49" t="s">
        <v>95</v>
      </c>
      <c r="M49" t="s">
        <v>37</v>
      </c>
      <c r="N49">
        <v>24</v>
      </c>
      <c r="O49">
        <f t="shared" si="0"/>
        <v>52.63</v>
      </c>
      <c r="P49">
        <f t="shared" si="1"/>
        <v>95000</v>
      </c>
      <c r="Q49" t="str">
        <f>VLOOKUP(C49,Customers!$A:$D,3,0)</f>
        <v>North</v>
      </c>
      <c r="R49" t="str">
        <f t="shared" si="2"/>
        <v>December</v>
      </c>
      <c r="S49">
        <f t="shared" si="3"/>
        <v>12</v>
      </c>
      <c r="T49" t="str">
        <f>VLOOKUP(C49,Customers!$A:$B,2,0)</f>
        <v>Amazon India</v>
      </c>
    </row>
    <row r="50" spans="1:20">
      <c r="A50" t="s">
        <v>127</v>
      </c>
      <c r="B50" s="1">
        <v>45578</v>
      </c>
      <c r="C50" t="s">
        <v>73</v>
      </c>
      <c r="D50" t="s">
        <v>89</v>
      </c>
      <c r="E50" t="s">
        <v>45</v>
      </c>
      <c r="F50">
        <v>4</v>
      </c>
      <c r="G50">
        <v>544000</v>
      </c>
      <c r="H50">
        <v>280000</v>
      </c>
      <c r="I50">
        <v>264000</v>
      </c>
      <c r="J50">
        <v>15</v>
      </c>
      <c r="K50" t="s">
        <v>18</v>
      </c>
      <c r="L50" t="s">
        <v>51</v>
      </c>
      <c r="M50" t="s">
        <v>20</v>
      </c>
      <c r="N50">
        <v>12</v>
      </c>
      <c r="O50">
        <f t="shared" si="0"/>
        <v>48.53</v>
      </c>
      <c r="P50">
        <f t="shared" si="1"/>
        <v>136000</v>
      </c>
      <c r="Q50" t="str">
        <f>VLOOKUP(C50,Customers!$A:$D,3,0)</f>
        <v>West</v>
      </c>
      <c r="R50" t="str">
        <f t="shared" si="2"/>
        <v>October</v>
      </c>
      <c r="S50">
        <f t="shared" si="3"/>
        <v>10</v>
      </c>
      <c r="T50" t="str">
        <f>VLOOKUP(C50,Customers!$A:$B,2,0)</f>
        <v>ICICI Tech</v>
      </c>
    </row>
    <row r="51" spans="1:20">
      <c r="A51" t="s">
        <v>128</v>
      </c>
      <c r="B51" s="1">
        <v>45499</v>
      </c>
      <c r="C51" t="s">
        <v>22</v>
      </c>
      <c r="D51" t="s">
        <v>119</v>
      </c>
      <c r="E51" t="s">
        <v>36</v>
      </c>
      <c r="F51">
        <v>3</v>
      </c>
      <c r="G51">
        <v>300000</v>
      </c>
      <c r="H51">
        <v>135000</v>
      </c>
      <c r="I51">
        <v>165000</v>
      </c>
      <c r="J51">
        <v>0</v>
      </c>
      <c r="K51" t="s">
        <v>30</v>
      </c>
      <c r="L51" t="s">
        <v>26</v>
      </c>
      <c r="M51" t="s">
        <v>20</v>
      </c>
      <c r="N51">
        <v>12</v>
      </c>
      <c r="O51">
        <f t="shared" si="0"/>
        <v>55</v>
      </c>
      <c r="P51">
        <f t="shared" si="1"/>
        <v>100000</v>
      </c>
      <c r="Q51" t="str">
        <f>VLOOKUP(C51,Customers!$A:$D,3,0)</f>
        <v>South</v>
      </c>
      <c r="R51" t="str">
        <f t="shared" si="2"/>
        <v>July</v>
      </c>
      <c r="S51">
        <f t="shared" si="3"/>
        <v>7</v>
      </c>
      <c r="T51" t="str">
        <f>VLOOKUP(C51,Customers!$A:$B,2,0)</f>
        <v>Infosys Ltd</v>
      </c>
    </row>
    <row r="52" spans="1:20">
      <c r="A52" t="s">
        <v>129</v>
      </c>
      <c r="B52" s="1">
        <v>45530</v>
      </c>
      <c r="C52" t="s">
        <v>49</v>
      </c>
      <c r="D52" t="s">
        <v>57</v>
      </c>
      <c r="E52" t="s">
        <v>17</v>
      </c>
      <c r="F52">
        <v>5</v>
      </c>
      <c r="G52">
        <v>285000</v>
      </c>
      <c r="H52">
        <v>125000</v>
      </c>
      <c r="I52">
        <v>160000</v>
      </c>
      <c r="J52">
        <v>5</v>
      </c>
      <c r="K52" t="s">
        <v>18</v>
      </c>
      <c r="L52" t="s">
        <v>51</v>
      </c>
      <c r="M52" t="s">
        <v>27</v>
      </c>
      <c r="N52">
        <v>12</v>
      </c>
      <c r="O52">
        <f t="shared" si="0"/>
        <v>56.14</v>
      </c>
      <c r="P52">
        <f t="shared" si="1"/>
        <v>57000</v>
      </c>
      <c r="Q52" t="str">
        <f>VLOOKUP(C52,Customers!$A:$D,3,0)</f>
        <v>South</v>
      </c>
      <c r="R52" t="str">
        <f t="shared" si="2"/>
        <v>August</v>
      </c>
      <c r="S52">
        <f t="shared" si="3"/>
        <v>8</v>
      </c>
      <c r="T52" t="str">
        <f>VLOOKUP(C52,Customers!$A:$B,2,0)</f>
        <v>Myntra Fashion</v>
      </c>
    </row>
    <row r="53" spans="1:20">
      <c r="A53" t="s">
        <v>130</v>
      </c>
      <c r="B53" s="1">
        <v>45555</v>
      </c>
      <c r="C53" t="s">
        <v>131</v>
      </c>
      <c r="D53" t="s">
        <v>35</v>
      </c>
      <c r="E53" t="s">
        <v>36</v>
      </c>
      <c r="F53">
        <v>1</v>
      </c>
      <c r="G53">
        <v>52000</v>
      </c>
      <c r="H53">
        <v>28000</v>
      </c>
      <c r="I53">
        <v>24000</v>
      </c>
      <c r="J53">
        <v>20</v>
      </c>
      <c r="K53" t="s">
        <v>30</v>
      </c>
      <c r="L53" t="s">
        <v>97</v>
      </c>
      <c r="M53" t="s">
        <v>32</v>
      </c>
      <c r="N53">
        <v>6</v>
      </c>
      <c r="O53">
        <f t="shared" si="0"/>
        <v>46.15</v>
      </c>
      <c r="P53">
        <f t="shared" si="1"/>
        <v>52000</v>
      </c>
      <c r="Q53" t="str">
        <f>VLOOKUP(C53,Customers!$A:$D,3,0)</f>
        <v>North</v>
      </c>
      <c r="R53" t="str">
        <f t="shared" si="2"/>
        <v>September</v>
      </c>
      <c r="S53">
        <f t="shared" si="3"/>
        <v>9</v>
      </c>
      <c r="T53" t="str">
        <f>VLOOKUP(C53,Customers!$A:$B,2,0)</f>
        <v>Lenskart Vision</v>
      </c>
    </row>
    <row r="54" spans="1:20">
      <c r="A54" t="s">
        <v>132</v>
      </c>
      <c r="B54" s="1">
        <v>45593</v>
      </c>
      <c r="C54" t="s">
        <v>133</v>
      </c>
      <c r="D54" t="s">
        <v>67</v>
      </c>
      <c r="E54" t="s">
        <v>54</v>
      </c>
      <c r="F54">
        <v>1</v>
      </c>
      <c r="G54">
        <v>83600</v>
      </c>
      <c r="H54">
        <v>38000</v>
      </c>
      <c r="I54">
        <v>45600</v>
      </c>
      <c r="J54">
        <v>5</v>
      </c>
      <c r="K54" t="s">
        <v>30</v>
      </c>
      <c r="L54" t="s">
        <v>26</v>
      </c>
      <c r="M54" t="s">
        <v>32</v>
      </c>
      <c r="N54">
        <v>24</v>
      </c>
      <c r="O54">
        <f t="shared" si="0"/>
        <v>54.55</v>
      </c>
      <c r="P54">
        <f t="shared" si="1"/>
        <v>83600</v>
      </c>
      <c r="Q54" t="str">
        <f>VLOOKUP(C54,Customers!$A:$D,3,0)</f>
        <v>South</v>
      </c>
      <c r="R54" t="str">
        <f t="shared" si="2"/>
        <v>October</v>
      </c>
      <c r="S54">
        <f t="shared" si="3"/>
        <v>10</v>
      </c>
      <c r="T54" t="str">
        <f>VLOOKUP(C54,Customers!$A:$B,2,0)</f>
        <v>Razorpay Tech</v>
      </c>
    </row>
    <row r="55" spans="1:20">
      <c r="A55" t="s">
        <v>134</v>
      </c>
      <c r="B55" s="1">
        <v>45545</v>
      </c>
      <c r="C55" t="s">
        <v>88</v>
      </c>
      <c r="D55" t="s">
        <v>92</v>
      </c>
      <c r="E55" t="s">
        <v>24</v>
      </c>
      <c r="F55">
        <v>1</v>
      </c>
      <c r="G55">
        <v>144000</v>
      </c>
      <c r="H55">
        <v>80000</v>
      </c>
      <c r="I55">
        <v>64000</v>
      </c>
      <c r="J55">
        <v>20</v>
      </c>
      <c r="K55" t="s">
        <v>30</v>
      </c>
      <c r="L55" t="s">
        <v>58</v>
      </c>
      <c r="M55" t="s">
        <v>32</v>
      </c>
      <c r="N55">
        <v>24</v>
      </c>
      <c r="O55">
        <f t="shared" si="0"/>
        <v>44.44</v>
      </c>
      <c r="P55">
        <f t="shared" si="1"/>
        <v>144000</v>
      </c>
      <c r="Q55" t="str">
        <f>VLOOKUP(C55,Customers!$A:$D,3,0)</f>
        <v>West</v>
      </c>
      <c r="R55" t="str">
        <f t="shared" si="2"/>
        <v>September</v>
      </c>
      <c r="S55">
        <f t="shared" si="3"/>
        <v>9</v>
      </c>
      <c r="T55" t="str">
        <f>VLOOKUP(C55,Customers!$A:$B,2,0)</f>
        <v>Reliance Digital</v>
      </c>
    </row>
    <row r="56" spans="1:20">
      <c r="A56" t="s">
        <v>135</v>
      </c>
      <c r="B56" s="1">
        <v>45317</v>
      </c>
      <c r="C56" t="s">
        <v>136</v>
      </c>
      <c r="D56" t="s">
        <v>69</v>
      </c>
      <c r="E56" t="s">
        <v>62</v>
      </c>
      <c r="F56">
        <v>4</v>
      </c>
      <c r="G56">
        <v>380000</v>
      </c>
      <c r="H56">
        <v>160000</v>
      </c>
      <c r="I56">
        <v>220000</v>
      </c>
      <c r="J56">
        <v>0</v>
      </c>
      <c r="K56" t="s">
        <v>30</v>
      </c>
      <c r="L56" t="s">
        <v>63</v>
      </c>
      <c r="M56" t="s">
        <v>20</v>
      </c>
      <c r="N56">
        <v>12</v>
      </c>
      <c r="O56">
        <f t="shared" si="0"/>
        <v>57.89</v>
      </c>
      <c r="P56">
        <f t="shared" si="1"/>
        <v>95000</v>
      </c>
      <c r="Q56" t="str">
        <f>VLOOKUP(C56,Customers!$A:$D,3,0)</f>
        <v>North</v>
      </c>
      <c r="R56" t="str">
        <f t="shared" si="2"/>
        <v>January</v>
      </c>
      <c r="S56">
        <f t="shared" si="3"/>
        <v>1</v>
      </c>
      <c r="T56" t="str">
        <f>VLOOKUP(C56,Customers!$A:$B,2,0)</f>
        <v>BharatPe</v>
      </c>
    </row>
    <row r="57" spans="1:20">
      <c r="A57" t="s">
        <v>137</v>
      </c>
      <c r="B57" s="1">
        <v>45518</v>
      </c>
      <c r="C57" t="s">
        <v>39</v>
      </c>
      <c r="D57" t="s">
        <v>80</v>
      </c>
      <c r="E57" t="s">
        <v>41</v>
      </c>
      <c r="F57">
        <v>4</v>
      </c>
      <c r="G57">
        <v>166400</v>
      </c>
      <c r="H57">
        <v>88000</v>
      </c>
      <c r="I57">
        <v>78400</v>
      </c>
      <c r="J57">
        <v>20</v>
      </c>
      <c r="K57" t="s">
        <v>25</v>
      </c>
      <c r="L57" t="s">
        <v>47</v>
      </c>
      <c r="M57" t="s">
        <v>32</v>
      </c>
      <c r="N57">
        <v>24</v>
      </c>
      <c r="O57">
        <f t="shared" si="0"/>
        <v>47.12</v>
      </c>
      <c r="P57">
        <f t="shared" si="1"/>
        <v>41600</v>
      </c>
      <c r="Q57" t="str">
        <f>VLOOKUP(C57,Customers!$A:$D,3,0)</f>
        <v>North</v>
      </c>
      <c r="R57" t="str">
        <f t="shared" si="2"/>
        <v>August</v>
      </c>
      <c r="S57">
        <f t="shared" si="3"/>
        <v>8</v>
      </c>
      <c r="T57" t="str">
        <f>VLOOKUP(C57,Customers!$A:$B,2,0)</f>
        <v>Amazon India</v>
      </c>
    </row>
    <row r="58" spans="1:20">
      <c r="A58" t="s">
        <v>138</v>
      </c>
      <c r="B58" s="1">
        <v>45593</v>
      </c>
      <c r="C58" t="s">
        <v>139</v>
      </c>
      <c r="D58" t="s">
        <v>50</v>
      </c>
      <c r="E58" t="s">
        <v>17</v>
      </c>
      <c r="F58">
        <v>5</v>
      </c>
      <c r="G58">
        <v>237500</v>
      </c>
      <c r="H58">
        <v>100000</v>
      </c>
      <c r="I58">
        <v>137500</v>
      </c>
      <c r="J58">
        <v>5</v>
      </c>
      <c r="K58" t="s">
        <v>18</v>
      </c>
      <c r="L58" t="s">
        <v>58</v>
      </c>
      <c r="M58" t="s">
        <v>37</v>
      </c>
      <c r="N58">
        <v>24</v>
      </c>
      <c r="O58">
        <f t="shared" si="0"/>
        <v>57.89</v>
      </c>
      <c r="P58">
        <f t="shared" si="1"/>
        <v>47500</v>
      </c>
      <c r="Q58" t="str">
        <f>VLOOKUP(C58,Customers!$A:$D,3,0)</f>
        <v>North</v>
      </c>
      <c r="R58" t="str">
        <f t="shared" si="2"/>
        <v>October</v>
      </c>
      <c r="S58">
        <f t="shared" si="3"/>
        <v>10</v>
      </c>
      <c r="T58" t="str">
        <f>VLOOKUP(C58,Customers!$A:$B,2,0)</f>
        <v>PolicyBazaar</v>
      </c>
    </row>
    <row r="59" spans="1:20">
      <c r="A59" t="s">
        <v>140</v>
      </c>
      <c r="B59" s="1">
        <v>45331</v>
      </c>
      <c r="C59" t="s">
        <v>65</v>
      </c>
      <c r="D59" t="s">
        <v>50</v>
      </c>
      <c r="E59" t="s">
        <v>17</v>
      </c>
      <c r="F59">
        <v>3</v>
      </c>
      <c r="G59">
        <v>142500</v>
      </c>
      <c r="H59">
        <v>60000</v>
      </c>
      <c r="I59">
        <v>82500</v>
      </c>
      <c r="J59">
        <v>5</v>
      </c>
      <c r="K59" t="s">
        <v>25</v>
      </c>
      <c r="L59" t="s">
        <v>19</v>
      </c>
      <c r="M59" t="s">
        <v>32</v>
      </c>
      <c r="N59">
        <v>6</v>
      </c>
      <c r="O59">
        <f t="shared" si="0"/>
        <v>57.89</v>
      </c>
      <c r="P59">
        <f t="shared" si="1"/>
        <v>47500</v>
      </c>
      <c r="Q59" t="str">
        <f>VLOOKUP(C59,Customers!$A:$D,3,0)</f>
        <v>North</v>
      </c>
      <c r="R59" t="str">
        <f t="shared" si="2"/>
        <v>February</v>
      </c>
      <c r="S59">
        <f t="shared" si="3"/>
        <v>2</v>
      </c>
      <c r="T59" t="str">
        <f>VLOOKUP(C59,Customers!$A:$B,2,0)</f>
        <v>Zomato Pvt Ltd</v>
      </c>
    </row>
    <row r="60" spans="1:20">
      <c r="A60" t="s">
        <v>141</v>
      </c>
      <c r="B60" s="1">
        <v>45410</v>
      </c>
      <c r="C60" t="s">
        <v>88</v>
      </c>
      <c r="D60" t="s">
        <v>57</v>
      </c>
      <c r="E60" t="s">
        <v>17</v>
      </c>
      <c r="F60">
        <v>1</v>
      </c>
      <c r="G60">
        <v>57000</v>
      </c>
      <c r="H60">
        <v>25000</v>
      </c>
      <c r="I60">
        <v>32000</v>
      </c>
      <c r="J60">
        <v>5</v>
      </c>
      <c r="K60" t="s">
        <v>30</v>
      </c>
      <c r="L60" t="s">
        <v>70</v>
      </c>
      <c r="M60" t="s">
        <v>20</v>
      </c>
      <c r="N60">
        <v>24</v>
      </c>
      <c r="O60">
        <f t="shared" si="0"/>
        <v>56.14</v>
      </c>
      <c r="P60">
        <f t="shared" si="1"/>
        <v>57000</v>
      </c>
      <c r="Q60" t="str">
        <f>VLOOKUP(C60,Customers!$A:$D,3,0)</f>
        <v>West</v>
      </c>
      <c r="R60" t="str">
        <f t="shared" si="2"/>
        <v>April</v>
      </c>
      <c r="S60">
        <f t="shared" si="3"/>
        <v>4</v>
      </c>
      <c r="T60" t="str">
        <f>VLOOKUP(C60,Customers!$A:$B,2,0)</f>
        <v>Reliance Digital</v>
      </c>
    </row>
    <row r="61" spans="1:20">
      <c r="A61" t="s">
        <v>142</v>
      </c>
      <c r="B61" s="1">
        <v>45615</v>
      </c>
      <c r="C61" t="s">
        <v>143</v>
      </c>
      <c r="D61" t="s">
        <v>82</v>
      </c>
      <c r="E61" t="s">
        <v>54</v>
      </c>
      <c r="F61">
        <v>1</v>
      </c>
      <c r="G61">
        <v>116000</v>
      </c>
      <c r="H61">
        <v>60000</v>
      </c>
      <c r="I61">
        <v>56000</v>
      </c>
      <c r="J61">
        <v>20</v>
      </c>
      <c r="K61" t="s">
        <v>25</v>
      </c>
      <c r="L61" t="s">
        <v>95</v>
      </c>
      <c r="M61" t="s">
        <v>59</v>
      </c>
      <c r="N61">
        <v>3</v>
      </c>
      <c r="O61">
        <f t="shared" si="0"/>
        <v>48.28</v>
      </c>
      <c r="P61">
        <f t="shared" si="1"/>
        <v>116000</v>
      </c>
      <c r="Q61" t="str">
        <f>VLOOKUP(C61,Customers!$A:$D,3,0)</f>
        <v>North</v>
      </c>
      <c r="R61" t="str">
        <f t="shared" si="2"/>
        <v>November</v>
      </c>
      <c r="S61">
        <f t="shared" si="3"/>
        <v>11</v>
      </c>
      <c r="T61" t="str">
        <f>VLOOKUP(C61,Customers!$A:$B,2,0)</f>
        <v>Nykaa Fashion</v>
      </c>
    </row>
    <row r="62" spans="1:20">
      <c r="A62" t="s">
        <v>144</v>
      </c>
      <c r="B62" s="1">
        <v>45611</v>
      </c>
      <c r="C62" t="s">
        <v>43</v>
      </c>
      <c r="D62" t="s">
        <v>89</v>
      </c>
      <c r="E62" t="s">
        <v>45</v>
      </c>
      <c r="F62">
        <v>5</v>
      </c>
      <c r="G62">
        <v>680000</v>
      </c>
      <c r="H62">
        <v>350000</v>
      </c>
      <c r="I62">
        <v>330000</v>
      </c>
      <c r="J62">
        <v>15</v>
      </c>
      <c r="K62" t="s">
        <v>18</v>
      </c>
      <c r="L62" t="s">
        <v>63</v>
      </c>
      <c r="M62" t="s">
        <v>20</v>
      </c>
      <c r="N62">
        <v>6</v>
      </c>
      <c r="O62">
        <f t="shared" si="0"/>
        <v>48.53</v>
      </c>
      <c r="P62">
        <f t="shared" si="1"/>
        <v>136000</v>
      </c>
      <c r="Q62" t="str">
        <f>VLOOKUP(C62,Customers!$A:$D,3,0)</f>
        <v>South</v>
      </c>
      <c r="R62" t="str">
        <f t="shared" si="2"/>
        <v>November</v>
      </c>
      <c r="S62">
        <f t="shared" si="3"/>
        <v>11</v>
      </c>
      <c r="T62" t="str">
        <f>VLOOKUP(C62,Customers!$A:$B,2,0)</f>
        <v>Groww Invest</v>
      </c>
    </row>
    <row r="63" spans="1:20">
      <c r="A63" t="s">
        <v>145</v>
      </c>
      <c r="B63" s="1">
        <v>45617</v>
      </c>
      <c r="C63" t="s">
        <v>133</v>
      </c>
      <c r="D63" t="s">
        <v>92</v>
      </c>
      <c r="E63" t="s">
        <v>24</v>
      </c>
      <c r="F63">
        <v>4</v>
      </c>
      <c r="G63">
        <v>684000</v>
      </c>
      <c r="H63">
        <v>320000</v>
      </c>
      <c r="I63">
        <v>364000</v>
      </c>
      <c r="J63">
        <v>5</v>
      </c>
      <c r="K63" t="s">
        <v>18</v>
      </c>
      <c r="L63" t="s">
        <v>95</v>
      </c>
      <c r="M63" t="s">
        <v>32</v>
      </c>
      <c r="N63">
        <v>24</v>
      </c>
      <c r="O63">
        <f t="shared" si="0"/>
        <v>53.22</v>
      </c>
      <c r="P63">
        <f t="shared" si="1"/>
        <v>171000</v>
      </c>
      <c r="Q63" t="str">
        <f>VLOOKUP(C63,Customers!$A:$D,3,0)</f>
        <v>South</v>
      </c>
      <c r="R63" t="str">
        <f t="shared" si="2"/>
        <v>November</v>
      </c>
      <c r="S63">
        <f t="shared" si="3"/>
        <v>11</v>
      </c>
      <c r="T63" t="str">
        <f>VLOOKUP(C63,Customers!$A:$B,2,0)</f>
        <v>Razorpay Tech</v>
      </c>
    </row>
    <row r="64" spans="1:20">
      <c r="A64" t="s">
        <v>146</v>
      </c>
      <c r="B64" s="1">
        <v>45357</v>
      </c>
      <c r="C64" t="s">
        <v>91</v>
      </c>
      <c r="D64" t="s">
        <v>92</v>
      </c>
      <c r="E64" t="s">
        <v>24</v>
      </c>
      <c r="F64">
        <v>4</v>
      </c>
      <c r="G64">
        <v>648000</v>
      </c>
      <c r="H64">
        <v>320000</v>
      </c>
      <c r="I64">
        <v>328000</v>
      </c>
      <c r="J64">
        <v>10</v>
      </c>
      <c r="K64" t="s">
        <v>25</v>
      </c>
      <c r="L64" t="s">
        <v>31</v>
      </c>
      <c r="M64" t="s">
        <v>27</v>
      </c>
      <c r="N64">
        <v>24</v>
      </c>
      <c r="O64">
        <f t="shared" si="0"/>
        <v>50.62</v>
      </c>
      <c r="P64">
        <f t="shared" si="1"/>
        <v>162000</v>
      </c>
      <c r="Q64" t="str">
        <f>VLOOKUP(C64,Customers!$A:$D,3,0)</f>
        <v>South</v>
      </c>
      <c r="R64" t="str">
        <f t="shared" si="2"/>
        <v>March</v>
      </c>
      <c r="S64">
        <f t="shared" si="3"/>
        <v>3</v>
      </c>
      <c r="T64" t="str">
        <f>VLOOKUP(C64,Customers!$A:$B,2,0)</f>
        <v>CRED Fintech</v>
      </c>
    </row>
    <row r="65" spans="1:20">
      <c r="A65" t="s">
        <v>147</v>
      </c>
      <c r="B65" s="1">
        <v>45361</v>
      </c>
      <c r="C65" t="s">
        <v>122</v>
      </c>
      <c r="D65" t="s">
        <v>86</v>
      </c>
      <c r="E65" t="s">
        <v>24</v>
      </c>
      <c r="F65">
        <v>3</v>
      </c>
      <c r="G65">
        <v>399000</v>
      </c>
      <c r="H65">
        <v>180000</v>
      </c>
      <c r="I65">
        <v>219000</v>
      </c>
      <c r="J65">
        <v>5</v>
      </c>
      <c r="K65" t="s">
        <v>30</v>
      </c>
      <c r="L65" t="s">
        <v>58</v>
      </c>
      <c r="M65" t="s">
        <v>59</v>
      </c>
      <c r="N65">
        <v>12</v>
      </c>
      <c r="O65">
        <f t="shared" si="0"/>
        <v>54.89</v>
      </c>
      <c r="P65">
        <f t="shared" si="1"/>
        <v>133000</v>
      </c>
      <c r="Q65" t="str">
        <f>VLOOKUP(C65,Customers!$A:$D,3,0)</f>
        <v>West</v>
      </c>
      <c r="R65" t="str">
        <f t="shared" si="2"/>
        <v>March</v>
      </c>
      <c r="S65">
        <f t="shared" si="3"/>
        <v>3</v>
      </c>
      <c r="T65" t="str">
        <f>VLOOKUP(C65,Customers!$A:$B,2,0)</f>
        <v>HDFC Bank</v>
      </c>
    </row>
    <row r="66" spans="1:20">
      <c r="A66" t="s">
        <v>148</v>
      </c>
      <c r="B66" s="1">
        <v>45464</v>
      </c>
      <c r="C66" t="s">
        <v>143</v>
      </c>
      <c r="D66" t="s">
        <v>50</v>
      </c>
      <c r="E66" t="s">
        <v>17</v>
      </c>
      <c r="F66">
        <v>4</v>
      </c>
      <c r="G66">
        <v>190000</v>
      </c>
      <c r="H66">
        <v>80000</v>
      </c>
      <c r="I66">
        <v>110000</v>
      </c>
      <c r="J66">
        <v>5</v>
      </c>
      <c r="K66" t="s">
        <v>30</v>
      </c>
      <c r="L66" t="s">
        <v>47</v>
      </c>
      <c r="M66" t="s">
        <v>27</v>
      </c>
      <c r="N66">
        <v>3</v>
      </c>
      <c r="O66">
        <f t="shared" si="0"/>
        <v>57.89</v>
      </c>
      <c r="P66">
        <f t="shared" si="1"/>
        <v>47500</v>
      </c>
      <c r="Q66" t="str">
        <f>VLOOKUP(C66,Customers!$A:$D,3,0)</f>
        <v>North</v>
      </c>
      <c r="R66" t="str">
        <f t="shared" si="2"/>
        <v>June</v>
      </c>
      <c r="S66">
        <f t="shared" si="3"/>
        <v>6</v>
      </c>
      <c r="T66" t="str">
        <f>VLOOKUP(C66,Customers!$A:$B,2,0)</f>
        <v>Nykaa Fashion</v>
      </c>
    </row>
    <row r="67" spans="1:20">
      <c r="A67" t="s">
        <v>149</v>
      </c>
      <c r="B67" s="1">
        <v>45570</v>
      </c>
      <c r="C67" t="s">
        <v>34</v>
      </c>
      <c r="D67" t="s">
        <v>86</v>
      </c>
      <c r="E67" t="s">
        <v>24</v>
      </c>
      <c r="F67">
        <v>1</v>
      </c>
      <c r="G67">
        <v>140000</v>
      </c>
      <c r="H67">
        <v>60000</v>
      </c>
      <c r="I67">
        <v>80000</v>
      </c>
      <c r="J67">
        <v>0</v>
      </c>
      <c r="K67" t="s">
        <v>30</v>
      </c>
      <c r="L67" t="s">
        <v>31</v>
      </c>
      <c r="M67" t="s">
        <v>20</v>
      </c>
      <c r="N67">
        <v>6</v>
      </c>
      <c r="O67">
        <f t="shared" ref="O67:O130" si="4">ROUND((I67/G67)*100,2)</f>
        <v>57.14</v>
      </c>
      <c r="P67">
        <f t="shared" ref="P67:P130" si="5">ROUND(G67/F67,2)</f>
        <v>140000</v>
      </c>
      <c r="Q67" t="str">
        <f>VLOOKUP(C67,Customers!$A:$D,3,0)</f>
        <v>North</v>
      </c>
      <c r="R67" t="str">
        <f t="shared" ref="R67:R130" si="6">TEXT(B67,"MMMM")</f>
        <v>October</v>
      </c>
      <c r="S67">
        <f t="shared" ref="S67:S130" si="7">MONTH(B67)</f>
        <v>10</v>
      </c>
      <c r="T67" t="str">
        <f>VLOOKUP(C67,Customers!$A:$B,2,0)</f>
        <v>Snapdeal Ltd</v>
      </c>
    </row>
    <row r="68" spans="1:20">
      <c r="A68" t="s">
        <v>150</v>
      </c>
      <c r="B68" s="1">
        <v>45647</v>
      </c>
      <c r="C68" t="s">
        <v>151</v>
      </c>
      <c r="D68" t="s">
        <v>82</v>
      </c>
      <c r="E68" t="s">
        <v>54</v>
      </c>
      <c r="F68">
        <v>2</v>
      </c>
      <c r="G68">
        <v>275500</v>
      </c>
      <c r="H68">
        <v>120000</v>
      </c>
      <c r="I68">
        <v>155500</v>
      </c>
      <c r="J68">
        <v>5</v>
      </c>
      <c r="K68" t="s">
        <v>18</v>
      </c>
      <c r="L68" t="s">
        <v>97</v>
      </c>
      <c r="M68" t="s">
        <v>37</v>
      </c>
      <c r="N68">
        <v>6</v>
      </c>
      <c r="O68">
        <f t="shared" si="4"/>
        <v>56.44</v>
      </c>
      <c r="P68">
        <f t="shared" si="5"/>
        <v>137750</v>
      </c>
      <c r="Q68" t="str">
        <f>VLOOKUP(C68,Customers!$A:$D,3,0)</f>
        <v>North</v>
      </c>
      <c r="R68" t="str">
        <f t="shared" si="6"/>
        <v>December</v>
      </c>
      <c r="S68">
        <f t="shared" si="7"/>
        <v>12</v>
      </c>
      <c r="T68" t="str">
        <f>VLOOKUP(C68,Customers!$A:$B,2,0)</f>
        <v>HCL Systems</v>
      </c>
    </row>
    <row r="69" spans="1:20">
      <c r="A69" t="s">
        <v>152</v>
      </c>
      <c r="B69" s="1">
        <v>45602</v>
      </c>
      <c r="C69" t="s">
        <v>39</v>
      </c>
      <c r="D69" t="s">
        <v>69</v>
      </c>
      <c r="E69" t="s">
        <v>62</v>
      </c>
      <c r="F69">
        <v>2</v>
      </c>
      <c r="G69">
        <v>180500</v>
      </c>
      <c r="H69">
        <v>80000</v>
      </c>
      <c r="I69">
        <v>100500</v>
      </c>
      <c r="J69">
        <v>5</v>
      </c>
      <c r="K69" t="s">
        <v>30</v>
      </c>
      <c r="L69" t="s">
        <v>26</v>
      </c>
      <c r="M69" t="s">
        <v>27</v>
      </c>
      <c r="N69">
        <v>12</v>
      </c>
      <c r="O69">
        <f t="shared" si="4"/>
        <v>55.68</v>
      </c>
      <c r="P69">
        <f t="shared" si="5"/>
        <v>90250</v>
      </c>
      <c r="Q69" t="str">
        <f>VLOOKUP(C69,Customers!$A:$D,3,0)</f>
        <v>North</v>
      </c>
      <c r="R69" t="str">
        <f t="shared" si="6"/>
        <v>November</v>
      </c>
      <c r="S69">
        <f t="shared" si="7"/>
        <v>11</v>
      </c>
      <c r="T69" t="str">
        <f>VLOOKUP(C69,Customers!$A:$B,2,0)</f>
        <v>Amazon India</v>
      </c>
    </row>
    <row r="70" spans="1:20">
      <c r="A70" t="s">
        <v>153</v>
      </c>
      <c r="B70" s="1">
        <v>45586</v>
      </c>
      <c r="C70" t="s">
        <v>143</v>
      </c>
      <c r="D70" t="s">
        <v>154</v>
      </c>
      <c r="E70" t="s">
        <v>45</v>
      </c>
      <c r="F70">
        <v>2</v>
      </c>
      <c r="G70">
        <v>260000</v>
      </c>
      <c r="H70">
        <v>110000</v>
      </c>
      <c r="I70">
        <v>150000</v>
      </c>
      <c r="J70">
        <v>0</v>
      </c>
      <c r="K70" t="s">
        <v>25</v>
      </c>
      <c r="L70" t="s">
        <v>58</v>
      </c>
      <c r="M70" t="s">
        <v>27</v>
      </c>
      <c r="N70">
        <v>12</v>
      </c>
      <c r="O70">
        <f t="shared" si="4"/>
        <v>57.69</v>
      </c>
      <c r="P70">
        <f t="shared" si="5"/>
        <v>130000</v>
      </c>
      <c r="Q70" t="str">
        <f>VLOOKUP(C70,Customers!$A:$D,3,0)</f>
        <v>North</v>
      </c>
      <c r="R70" t="str">
        <f t="shared" si="6"/>
        <v>October</v>
      </c>
      <c r="S70">
        <f t="shared" si="7"/>
        <v>10</v>
      </c>
      <c r="T70" t="str">
        <f>VLOOKUP(C70,Customers!$A:$B,2,0)</f>
        <v>Nykaa Fashion</v>
      </c>
    </row>
    <row r="71" spans="1:20">
      <c r="A71" t="s">
        <v>155</v>
      </c>
      <c r="B71" s="1">
        <v>45642</v>
      </c>
      <c r="C71" t="s">
        <v>151</v>
      </c>
      <c r="D71" t="s">
        <v>82</v>
      </c>
      <c r="E71" t="s">
        <v>54</v>
      </c>
      <c r="F71">
        <v>1</v>
      </c>
      <c r="G71">
        <v>137750</v>
      </c>
      <c r="H71">
        <v>60000</v>
      </c>
      <c r="I71">
        <v>77750</v>
      </c>
      <c r="J71">
        <v>5</v>
      </c>
      <c r="K71" t="s">
        <v>25</v>
      </c>
      <c r="L71" t="s">
        <v>95</v>
      </c>
      <c r="M71" t="s">
        <v>37</v>
      </c>
      <c r="N71">
        <v>3</v>
      </c>
      <c r="O71">
        <f t="shared" si="4"/>
        <v>56.44</v>
      </c>
      <c r="P71">
        <f t="shared" si="5"/>
        <v>137750</v>
      </c>
      <c r="Q71" t="str">
        <f>VLOOKUP(C71,Customers!$A:$D,3,0)</f>
        <v>North</v>
      </c>
      <c r="R71" t="str">
        <f t="shared" si="6"/>
        <v>December</v>
      </c>
      <c r="S71">
        <f t="shared" si="7"/>
        <v>12</v>
      </c>
      <c r="T71" t="str">
        <f>VLOOKUP(C71,Customers!$A:$B,2,0)</f>
        <v>HCL Systems</v>
      </c>
    </row>
    <row r="72" spans="1:20">
      <c r="A72" t="s">
        <v>156</v>
      </c>
      <c r="B72" s="1">
        <v>45551</v>
      </c>
      <c r="C72" t="s">
        <v>22</v>
      </c>
      <c r="D72" t="s">
        <v>89</v>
      </c>
      <c r="E72" t="s">
        <v>45</v>
      </c>
      <c r="F72">
        <v>4</v>
      </c>
      <c r="G72">
        <v>640000</v>
      </c>
      <c r="H72">
        <v>280000</v>
      </c>
      <c r="I72">
        <v>360000</v>
      </c>
      <c r="J72">
        <v>0</v>
      </c>
      <c r="K72" t="s">
        <v>30</v>
      </c>
      <c r="L72" t="s">
        <v>70</v>
      </c>
      <c r="M72" t="s">
        <v>59</v>
      </c>
      <c r="N72">
        <v>6</v>
      </c>
      <c r="O72">
        <f t="shared" si="4"/>
        <v>56.25</v>
      </c>
      <c r="P72">
        <f t="shared" si="5"/>
        <v>160000</v>
      </c>
      <c r="Q72" t="str">
        <f>VLOOKUP(C72,Customers!$A:$D,3,0)</f>
        <v>South</v>
      </c>
      <c r="R72" t="str">
        <f t="shared" si="6"/>
        <v>September</v>
      </c>
      <c r="S72">
        <f t="shared" si="7"/>
        <v>9</v>
      </c>
      <c r="T72" t="str">
        <f>VLOOKUP(C72,Customers!$A:$B,2,0)</f>
        <v>Infosys Ltd</v>
      </c>
    </row>
    <row r="73" spans="1:20">
      <c r="A73" t="s">
        <v>157</v>
      </c>
      <c r="B73" s="1">
        <v>45628</v>
      </c>
      <c r="C73" t="s">
        <v>158</v>
      </c>
      <c r="D73" t="s">
        <v>50</v>
      </c>
      <c r="E73" t="s">
        <v>17</v>
      </c>
      <c r="F73">
        <v>5</v>
      </c>
      <c r="G73">
        <v>200000</v>
      </c>
      <c r="H73">
        <v>100000</v>
      </c>
      <c r="I73">
        <v>100000</v>
      </c>
      <c r="J73">
        <v>20</v>
      </c>
      <c r="K73" t="s">
        <v>25</v>
      </c>
      <c r="L73" t="s">
        <v>47</v>
      </c>
      <c r="M73" t="s">
        <v>59</v>
      </c>
      <c r="N73">
        <v>24</v>
      </c>
      <c r="O73">
        <f t="shared" si="4"/>
        <v>50</v>
      </c>
      <c r="P73">
        <f t="shared" si="5"/>
        <v>40000</v>
      </c>
      <c r="Q73" t="str">
        <f>VLOOKUP(C73,Customers!$A:$D,3,0)</f>
        <v>West</v>
      </c>
      <c r="R73" t="str">
        <f t="shared" si="6"/>
        <v>December</v>
      </c>
      <c r="S73">
        <f t="shared" si="7"/>
        <v>12</v>
      </c>
      <c r="T73" t="str">
        <f>VLOOKUP(C73,Customers!$A:$B,2,0)</f>
        <v>Tanishq Retail</v>
      </c>
    </row>
    <row r="74" spans="1:20">
      <c r="A74" t="s">
        <v>159</v>
      </c>
      <c r="B74" s="1">
        <v>45593</v>
      </c>
      <c r="C74" t="s">
        <v>139</v>
      </c>
      <c r="D74" t="s">
        <v>23</v>
      </c>
      <c r="E74" t="s">
        <v>24</v>
      </c>
      <c r="F74">
        <v>3</v>
      </c>
      <c r="G74">
        <v>342000</v>
      </c>
      <c r="H74">
        <v>150000</v>
      </c>
      <c r="I74">
        <v>192000</v>
      </c>
      <c r="J74">
        <v>5</v>
      </c>
      <c r="K74" t="s">
        <v>30</v>
      </c>
      <c r="L74" t="s">
        <v>47</v>
      </c>
      <c r="M74" t="s">
        <v>20</v>
      </c>
      <c r="N74">
        <v>24</v>
      </c>
      <c r="O74">
        <f t="shared" si="4"/>
        <v>56.14</v>
      </c>
      <c r="P74">
        <f t="shared" si="5"/>
        <v>114000</v>
      </c>
      <c r="Q74" t="str">
        <f>VLOOKUP(C74,Customers!$A:$D,3,0)</f>
        <v>North</v>
      </c>
      <c r="R74" t="str">
        <f t="shared" si="6"/>
        <v>October</v>
      </c>
      <c r="S74">
        <f t="shared" si="7"/>
        <v>10</v>
      </c>
      <c r="T74" t="str">
        <f>VLOOKUP(C74,Customers!$A:$B,2,0)</f>
        <v>PolicyBazaar</v>
      </c>
    </row>
    <row r="75" spans="1:20">
      <c r="A75" t="s">
        <v>160</v>
      </c>
      <c r="B75" s="1">
        <v>45603</v>
      </c>
      <c r="C75" t="s">
        <v>122</v>
      </c>
      <c r="D75" t="s">
        <v>76</v>
      </c>
      <c r="E75" t="s">
        <v>41</v>
      </c>
      <c r="F75">
        <v>2</v>
      </c>
      <c r="G75">
        <v>79800</v>
      </c>
      <c r="H75">
        <v>36000</v>
      </c>
      <c r="I75">
        <v>43800</v>
      </c>
      <c r="J75">
        <v>5</v>
      </c>
      <c r="K75" t="s">
        <v>30</v>
      </c>
      <c r="L75" t="s">
        <v>70</v>
      </c>
      <c r="M75" t="s">
        <v>37</v>
      </c>
      <c r="N75">
        <v>12</v>
      </c>
      <c r="O75">
        <f t="shared" si="4"/>
        <v>54.89</v>
      </c>
      <c r="P75">
        <f t="shared" si="5"/>
        <v>39900</v>
      </c>
      <c r="Q75" t="str">
        <f>VLOOKUP(C75,Customers!$A:$D,3,0)</f>
        <v>West</v>
      </c>
      <c r="R75" t="str">
        <f t="shared" si="6"/>
        <v>November</v>
      </c>
      <c r="S75">
        <f t="shared" si="7"/>
        <v>11</v>
      </c>
      <c r="T75" t="str">
        <f>VLOOKUP(C75,Customers!$A:$B,2,0)</f>
        <v>HDFC Bank</v>
      </c>
    </row>
    <row r="76" spans="1:20">
      <c r="A76" t="s">
        <v>161</v>
      </c>
      <c r="B76" s="1">
        <v>45586</v>
      </c>
      <c r="C76" t="s">
        <v>56</v>
      </c>
      <c r="D76" t="s">
        <v>16</v>
      </c>
      <c r="E76" t="s">
        <v>17</v>
      </c>
      <c r="F76">
        <v>4</v>
      </c>
      <c r="G76">
        <v>266000</v>
      </c>
      <c r="H76">
        <v>120000</v>
      </c>
      <c r="I76">
        <v>146000</v>
      </c>
      <c r="J76">
        <v>5</v>
      </c>
      <c r="K76" t="s">
        <v>25</v>
      </c>
      <c r="L76" t="s">
        <v>58</v>
      </c>
      <c r="M76" t="s">
        <v>59</v>
      </c>
      <c r="N76">
        <v>24</v>
      </c>
      <c r="O76">
        <f t="shared" si="4"/>
        <v>54.89</v>
      </c>
      <c r="P76">
        <f t="shared" si="5"/>
        <v>66500</v>
      </c>
      <c r="Q76" t="str">
        <f>VLOOKUP(C76,Customers!$A:$D,3,0)</f>
        <v>South</v>
      </c>
      <c r="R76" t="str">
        <f t="shared" si="6"/>
        <v>October</v>
      </c>
      <c r="S76">
        <f t="shared" si="7"/>
        <v>10</v>
      </c>
      <c r="T76" t="str">
        <f>VLOOKUP(C76,Customers!$A:$B,2,0)</f>
        <v>Wipro Technologies</v>
      </c>
    </row>
    <row r="77" spans="1:20">
      <c r="A77" t="s">
        <v>162</v>
      </c>
      <c r="B77" s="1">
        <v>45521</v>
      </c>
      <c r="C77" t="s">
        <v>56</v>
      </c>
      <c r="D77" t="s">
        <v>119</v>
      </c>
      <c r="E77" t="s">
        <v>36</v>
      </c>
      <c r="F77">
        <v>2</v>
      </c>
      <c r="G77">
        <v>190000</v>
      </c>
      <c r="H77">
        <v>90000</v>
      </c>
      <c r="I77">
        <v>100000</v>
      </c>
      <c r="J77">
        <v>5</v>
      </c>
      <c r="K77" t="s">
        <v>18</v>
      </c>
      <c r="L77" t="s">
        <v>58</v>
      </c>
      <c r="M77" t="s">
        <v>37</v>
      </c>
      <c r="N77">
        <v>12</v>
      </c>
      <c r="O77">
        <f t="shared" si="4"/>
        <v>52.63</v>
      </c>
      <c r="P77">
        <f t="shared" si="5"/>
        <v>95000</v>
      </c>
      <c r="Q77" t="str">
        <f>VLOOKUP(C77,Customers!$A:$D,3,0)</f>
        <v>South</v>
      </c>
      <c r="R77" t="str">
        <f t="shared" si="6"/>
        <v>August</v>
      </c>
      <c r="S77">
        <f t="shared" si="7"/>
        <v>8</v>
      </c>
      <c r="T77" t="str">
        <f>VLOOKUP(C77,Customers!$A:$B,2,0)</f>
        <v>Wipro Technologies</v>
      </c>
    </row>
    <row r="78" spans="1:20">
      <c r="A78" t="s">
        <v>163</v>
      </c>
      <c r="B78" s="1">
        <v>45534</v>
      </c>
      <c r="C78" t="s">
        <v>115</v>
      </c>
      <c r="D78" t="s">
        <v>89</v>
      </c>
      <c r="E78" t="s">
        <v>45</v>
      </c>
      <c r="F78">
        <v>5</v>
      </c>
      <c r="G78">
        <v>760000</v>
      </c>
      <c r="H78">
        <v>350000</v>
      </c>
      <c r="I78">
        <v>410000</v>
      </c>
      <c r="J78">
        <v>5</v>
      </c>
      <c r="K78" t="s">
        <v>30</v>
      </c>
      <c r="L78" t="s">
        <v>47</v>
      </c>
      <c r="M78" t="s">
        <v>37</v>
      </c>
      <c r="N78">
        <v>12</v>
      </c>
      <c r="O78">
        <f t="shared" si="4"/>
        <v>53.95</v>
      </c>
      <c r="P78">
        <f t="shared" si="5"/>
        <v>152000</v>
      </c>
      <c r="Q78" t="str">
        <f>VLOOKUP(C78,Customers!$A:$D,3,0)</f>
        <v>North</v>
      </c>
      <c r="R78" t="str">
        <f t="shared" si="6"/>
        <v>August</v>
      </c>
      <c r="S78">
        <f t="shared" si="7"/>
        <v>8</v>
      </c>
      <c r="T78" t="str">
        <f>VLOOKUP(C78,Customers!$A:$B,2,0)</f>
        <v>Paytm Services</v>
      </c>
    </row>
    <row r="79" spans="1:20">
      <c r="A79" t="s">
        <v>164</v>
      </c>
      <c r="B79" s="1">
        <v>45654</v>
      </c>
      <c r="C79" t="s">
        <v>73</v>
      </c>
      <c r="D79" t="s">
        <v>35</v>
      </c>
      <c r="E79" t="s">
        <v>36</v>
      </c>
      <c r="F79">
        <v>1</v>
      </c>
      <c r="G79">
        <v>55250</v>
      </c>
      <c r="H79">
        <v>28000</v>
      </c>
      <c r="I79">
        <v>27250</v>
      </c>
      <c r="J79">
        <v>15</v>
      </c>
      <c r="K79" t="s">
        <v>25</v>
      </c>
      <c r="L79" t="s">
        <v>51</v>
      </c>
      <c r="M79" t="s">
        <v>32</v>
      </c>
      <c r="N79">
        <v>6</v>
      </c>
      <c r="O79">
        <f t="shared" si="4"/>
        <v>49.32</v>
      </c>
      <c r="P79">
        <f t="shared" si="5"/>
        <v>55250</v>
      </c>
      <c r="Q79" t="str">
        <f>VLOOKUP(C79,Customers!$A:$D,3,0)</f>
        <v>West</v>
      </c>
      <c r="R79" t="str">
        <f t="shared" si="6"/>
        <v>December</v>
      </c>
      <c r="S79">
        <f t="shared" si="7"/>
        <v>12</v>
      </c>
      <c r="T79" t="str">
        <f>VLOOKUP(C79,Customers!$A:$B,2,0)</f>
        <v>ICICI Tech</v>
      </c>
    </row>
    <row r="80" spans="1:20">
      <c r="A80" t="s">
        <v>165</v>
      </c>
      <c r="B80" s="1">
        <v>45637</v>
      </c>
      <c r="C80" t="s">
        <v>34</v>
      </c>
      <c r="D80" t="s">
        <v>80</v>
      </c>
      <c r="E80" t="s">
        <v>41</v>
      </c>
      <c r="F80">
        <v>5</v>
      </c>
      <c r="G80">
        <v>247000</v>
      </c>
      <c r="H80">
        <v>110000</v>
      </c>
      <c r="I80">
        <v>137000</v>
      </c>
      <c r="J80">
        <v>5</v>
      </c>
      <c r="K80" t="s">
        <v>30</v>
      </c>
      <c r="L80" t="s">
        <v>58</v>
      </c>
      <c r="M80" t="s">
        <v>37</v>
      </c>
      <c r="N80">
        <v>6</v>
      </c>
      <c r="O80">
        <f t="shared" si="4"/>
        <v>55.47</v>
      </c>
      <c r="P80">
        <f t="shared" si="5"/>
        <v>49400</v>
      </c>
      <c r="Q80" t="str">
        <f>VLOOKUP(C80,Customers!$A:$D,3,0)</f>
        <v>North</v>
      </c>
      <c r="R80" t="str">
        <f t="shared" si="6"/>
        <v>December</v>
      </c>
      <c r="S80">
        <f t="shared" si="7"/>
        <v>12</v>
      </c>
      <c r="T80" t="str">
        <f>VLOOKUP(C80,Customers!$A:$B,2,0)</f>
        <v>Snapdeal Ltd</v>
      </c>
    </row>
    <row r="81" spans="1:20">
      <c r="A81" t="s">
        <v>166</v>
      </c>
      <c r="B81" s="1">
        <v>45563</v>
      </c>
      <c r="C81" t="s">
        <v>167</v>
      </c>
      <c r="D81" t="s">
        <v>53</v>
      </c>
      <c r="E81" t="s">
        <v>54</v>
      </c>
      <c r="F81">
        <v>2</v>
      </c>
      <c r="G81">
        <v>380000</v>
      </c>
      <c r="H81">
        <v>170000</v>
      </c>
      <c r="I81">
        <v>210000</v>
      </c>
      <c r="J81">
        <v>5</v>
      </c>
      <c r="K81" t="s">
        <v>30</v>
      </c>
      <c r="L81" t="s">
        <v>31</v>
      </c>
      <c r="M81" t="s">
        <v>20</v>
      </c>
      <c r="N81">
        <v>12</v>
      </c>
      <c r="O81">
        <f t="shared" si="4"/>
        <v>55.26</v>
      </c>
      <c r="P81">
        <f t="shared" si="5"/>
        <v>190000</v>
      </c>
      <c r="Q81" t="str">
        <f>VLOOKUP(C81,Customers!$A:$D,3,0)</f>
        <v>South</v>
      </c>
      <c r="R81" t="str">
        <f t="shared" si="6"/>
        <v>September</v>
      </c>
      <c r="S81">
        <f t="shared" si="7"/>
        <v>9</v>
      </c>
      <c r="T81" t="str">
        <f>VLOOKUP(C81,Customers!$A:$B,2,0)</f>
        <v>Flipkart India</v>
      </c>
    </row>
    <row r="82" spans="1:20">
      <c r="A82" t="s">
        <v>168</v>
      </c>
      <c r="B82" s="1">
        <v>45649</v>
      </c>
      <c r="C82" t="s">
        <v>158</v>
      </c>
      <c r="D82" t="s">
        <v>76</v>
      </c>
      <c r="E82" t="s">
        <v>41</v>
      </c>
      <c r="F82">
        <v>1</v>
      </c>
      <c r="G82">
        <v>33600</v>
      </c>
      <c r="H82">
        <v>18000</v>
      </c>
      <c r="I82">
        <v>15600</v>
      </c>
      <c r="J82">
        <v>20</v>
      </c>
      <c r="K82" t="s">
        <v>30</v>
      </c>
      <c r="L82" t="s">
        <v>26</v>
      </c>
      <c r="M82" t="s">
        <v>37</v>
      </c>
      <c r="N82">
        <v>24</v>
      </c>
      <c r="O82">
        <f t="shared" si="4"/>
        <v>46.43</v>
      </c>
      <c r="P82">
        <f t="shared" si="5"/>
        <v>33600</v>
      </c>
      <c r="Q82" t="str">
        <f>VLOOKUP(C82,Customers!$A:$D,3,0)</f>
        <v>West</v>
      </c>
      <c r="R82" t="str">
        <f t="shared" si="6"/>
        <v>December</v>
      </c>
      <c r="S82">
        <f t="shared" si="7"/>
        <v>12</v>
      </c>
      <c r="T82" t="str">
        <f>VLOOKUP(C82,Customers!$A:$B,2,0)</f>
        <v>Tanishq Retail</v>
      </c>
    </row>
    <row r="83" spans="1:20">
      <c r="A83" t="s">
        <v>169</v>
      </c>
      <c r="B83" s="1">
        <v>45537</v>
      </c>
      <c r="C83" t="s">
        <v>122</v>
      </c>
      <c r="D83" t="s">
        <v>86</v>
      </c>
      <c r="E83" t="s">
        <v>24</v>
      </c>
      <c r="F83">
        <v>3</v>
      </c>
      <c r="G83">
        <v>336000</v>
      </c>
      <c r="H83">
        <v>180000</v>
      </c>
      <c r="I83">
        <v>156000</v>
      </c>
      <c r="J83">
        <v>20</v>
      </c>
      <c r="K83" t="s">
        <v>30</v>
      </c>
      <c r="L83" t="s">
        <v>19</v>
      </c>
      <c r="M83" t="s">
        <v>27</v>
      </c>
      <c r="N83">
        <v>24</v>
      </c>
      <c r="O83">
        <f t="shared" si="4"/>
        <v>46.43</v>
      </c>
      <c r="P83">
        <f t="shared" si="5"/>
        <v>112000</v>
      </c>
      <c r="Q83" t="str">
        <f>VLOOKUP(C83,Customers!$A:$D,3,0)</f>
        <v>West</v>
      </c>
      <c r="R83" t="str">
        <f t="shared" si="6"/>
        <v>September</v>
      </c>
      <c r="S83">
        <f t="shared" si="7"/>
        <v>9</v>
      </c>
      <c r="T83" t="str">
        <f>VLOOKUP(C83,Customers!$A:$B,2,0)</f>
        <v>HDFC Bank</v>
      </c>
    </row>
    <row r="84" spans="1:20">
      <c r="A84" t="s">
        <v>170</v>
      </c>
      <c r="B84" s="1">
        <v>45642</v>
      </c>
      <c r="C84" t="s">
        <v>49</v>
      </c>
      <c r="D84" t="s">
        <v>86</v>
      </c>
      <c r="E84" t="s">
        <v>24</v>
      </c>
      <c r="F84">
        <v>2</v>
      </c>
      <c r="G84">
        <v>280000</v>
      </c>
      <c r="H84">
        <v>120000</v>
      </c>
      <c r="I84">
        <v>160000</v>
      </c>
      <c r="J84">
        <v>0</v>
      </c>
      <c r="K84" t="s">
        <v>25</v>
      </c>
      <c r="L84" t="s">
        <v>97</v>
      </c>
      <c r="M84" t="s">
        <v>27</v>
      </c>
      <c r="N84">
        <v>6</v>
      </c>
      <c r="O84">
        <f t="shared" si="4"/>
        <v>57.14</v>
      </c>
      <c r="P84">
        <f t="shared" si="5"/>
        <v>140000</v>
      </c>
      <c r="Q84" t="str">
        <f>VLOOKUP(C84,Customers!$A:$D,3,0)</f>
        <v>South</v>
      </c>
      <c r="R84" t="str">
        <f t="shared" si="6"/>
        <v>December</v>
      </c>
      <c r="S84">
        <f t="shared" si="7"/>
        <v>12</v>
      </c>
      <c r="T84" t="str">
        <f>VLOOKUP(C84,Customers!$A:$B,2,0)</f>
        <v>Myntra Fashion</v>
      </c>
    </row>
    <row r="85" spans="1:20">
      <c r="A85" t="s">
        <v>171</v>
      </c>
      <c r="B85" s="1">
        <v>45352</v>
      </c>
      <c r="C85" t="s">
        <v>29</v>
      </c>
      <c r="D85" t="s">
        <v>67</v>
      </c>
      <c r="E85" t="s">
        <v>54</v>
      </c>
      <c r="F85">
        <v>5</v>
      </c>
      <c r="G85">
        <v>352000</v>
      </c>
      <c r="H85">
        <v>190000</v>
      </c>
      <c r="I85">
        <v>162000</v>
      </c>
      <c r="J85">
        <v>20</v>
      </c>
      <c r="K85" t="s">
        <v>25</v>
      </c>
      <c r="L85" t="s">
        <v>58</v>
      </c>
      <c r="M85" t="s">
        <v>20</v>
      </c>
      <c r="N85">
        <v>24</v>
      </c>
      <c r="O85">
        <f t="shared" si="4"/>
        <v>46.02</v>
      </c>
      <c r="P85">
        <f t="shared" si="5"/>
        <v>70400</v>
      </c>
      <c r="Q85" t="str">
        <f>VLOOKUP(C85,Customers!$A:$D,3,0)</f>
        <v>South</v>
      </c>
      <c r="R85" t="str">
        <f t="shared" si="6"/>
        <v>March</v>
      </c>
      <c r="S85">
        <f t="shared" si="7"/>
        <v>3</v>
      </c>
      <c r="T85" t="str">
        <f>VLOOKUP(C85,Customers!$A:$B,2,0)</f>
        <v>Meesho Network</v>
      </c>
    </row>
    <row r="86" spans="1:20">
      <c r="A86" t="s">
        <v>172</v>
      </c>
      <c r="B86" s="1">
        <v>45522</v>
      </c>
      <c r="C86" t="s">
        <v>173</v>
      </c>
      <c r="D86" t="s">
        <v>82</v>
      </c>
      <c r="E86" t="s">
        <v>54</v>
      </c>
      <c r="F86">
        <v>4</v>
      </c>
      <c r="G86">
        <v>551000</v>
      </c>
      <c r="H86">
        <v>240000</v>
      </c>
      <c r="I86">
        <v>311000</v>
      </c>
      <c r="J86">
        <v>5</v>
      </c>
      <c r="K86" t="s">
        <v>25</v>
      </c>
      <c r="L86" t="s">
        <v>26</v>
      </c>
      <c r="M86" t="s">
        <v>27</v>
      </c>
      <c r="N86">
        <v>3</v>
      </c>
      <c r="O86">
        <f t="shared" si="4"/>
        <v>56.44</v>
      </c>
      <c r="P86">
        <f t="shared" si="5"/>
        <v>137750</v>
      </c>
      <c r="Q86" t="str">
        <f>VLOOKUP(C86,Customers!$A:$D,3,0)</f>
        <v>South</v>
      </c>
      <c r="R86" t="str">
        <f t="shared" si="6"/>
        <v>August</v>
      </c>
      <c r="S86">
        <f t="shared" si="7"/>
        <v>8</v>
      </c>
      <c r="T86" t="str">
        <f>VLOOKUP(C86,Customers!$A:$B,2,0)</f>
        <v>Byju's Learning</v>
      </c>
    </row>
    <row r="87" spans="1:20">
      <c r="A87" t="s">
        <v>174</v>
      </c>
      <c r="B87" s="1">
        <v>45398</v>
      </c>
      <c r="C87" t="s">
        <v>15</v>
      </c>
      <c r="D87" t="s">
        <v>23</v>
      </c>
      <c r="E87" t="s">
        <v>24</v>
      </c>
      <c r="F87">
        <v>2</v>
      </c>
      <c r="G87">
        <v>240000</v>
      </c>
      <c r="H87">
        <v>100000</v>
      </c>
      <c r="I87">
        <v>140000</v>
      </c>
      <c r="J87">
        <v>0</v>
      </c>
      <c r="K87" t="s">
        <v>30</v>
      </c>
      <c r="L87" t="s">
        <v>63</v>
      </c>
      <c r="M87" t="s">
        <v>27</v>
      </c>
      <c r="N87">
        <v>6</v>
      </c>
      <c r="O87">
        <f t="shared" si="4"/>
        <v>58.33</v>
      </c>
      <c r="P87">
        <f t="shared" si="5"/>
        <v>120000</v>
      </c>
      <c r="Q87" t="str">
        <f>VLOOKUP(C87,Customers!$A:$D,3,0)</f>
        <v>South</v>
      </c>
      <c r="R87" t="str">
        <f t="shared" si="6"/>
        <v>April</v>
      </c>
      <c r="S87">
        <f t="shared" si="7"/>
        <v>4</v>
      </c>
      <c r="T87" t="str">
        <f>VLOOKUP(C87,Customers!$A:$B,2,0)</f>
        <v>Swiggy Inc</v>
      </c>
    </row>
    <row r="88" spans="1:20">
      <c r="A88" t="s">
        <v>175</v>
      </c>
      <c r="B88" s="1">
        <v>45293</v>
      </c>
      <c r="C88" t="s">
        <v>167</v>
      </c>
      <c r="D88" t="s">
        <v>67</v>
      </c>
      <c r="E88" t="s">
        <v>54</v>
      </c>
      <c r="F88">
        <v>4</v>
      </c>
      <c r="G88">
        <v>334400</v>
      </c>
      <c r="H88">
        <v>152000</v>
      </c>
      <c r="I88">
        <v>182400</v>
      </c>
      <c r="J88">
        <v>5</v>
      </c>
      <c r="K88" t="s">
        <v>30</v>
      </c>
      <c r="L88" t="s">
        <v>58</v>
      </c>
      <c r="M88" t="s">
        <v>37</v>
      </c>
      <c r="N88">
        <v>12</v>
      </c>
      <c r="O88">
        <f t="shared" si="4"/>
        <v>54.55</v>
      </c>
      <c r="P88">
        <f t="shared" si="5"/>
        <v>83600</v>
      </c>
      <c r="Q88" t="str">
        <f>VLOOKUP(C88,Customers!$A:$D,3,0)</f>
        <v>South</v>
      </c>
      <c r="R88" t="str">
        <f t="shared" si="6"/>
        <v>January</v>
      </c>
      <c r="S88">
        <f t="shared" si="7"/>
        <v>1</v>
      </c>
      <c r="T88" t="str">
        <f>VLOOKUP(C88,Customers!$A:$B,2,0)</f>
        <v>Flipkart India</v>
      </c>
    </row>
    <row r="89" spans="1:20">
      <c r="A89" t="s">
        <v>176</v>
      </c>
      <c r="B89" s="1">
        <v>45651</v>
      </c>
      <c r="C89" t="s">
        <v>56</v>
      </c>
      <c r="D89" t="s">
        <v>16</v>
      </c>
      <c r="E89" t="s">
        <v>17</v>
      </c>
      <c r="F89">
        <v>3</v>
      </c>
      <c r="G89">
        <v>168000</v>
      </c>
      <c r="H89">
        <v>90000</v>
      </c>
      <c r="I89">
        <v>78000</v>
      </c>
      <c r="J89">
        <v>20</v>
      </c>
      <c r="K89" t="s">
        <v>18</v>
      </c>
      <c r="L89" t="s">
        <v>26</v>
      </c>
      <c r="M89" t="s">
        <v>32</v>
      </c>
      <c r="N89">
        <v>24</v>
      </c>
      <c r="O89">
        <f t="shared" si="4"/>
        <v>46.43</v>
      </c>
      <c r="P89">
        <f t="shared" si="5"/>
        <v>56000</v>
      </c>
      <c r="Q89" t="str">
        <f>VLOOKUP(C89,Customers!$A:$D,3,0)</f>
        <v>South</v>
      </c>
      <c r="R89" t="str">
        <f t="shared" si="6"/>
        <v>December</v>
      </c>
      <c r="S89">
        <f t="shared" si="7"/>
        <v>12</v>
      </c>
      <c r="T89" t="str">
        <f>VLOOKUP(C89,Customers!$A:$B,2,0)</f>
        <v>Wipro Technologies</v>
      </c>
    </row>
    <row r="90" spans="1:20">
      <c r="A90" t="s">
        <v>177</v>
      </c>
      <c r="B90" s="1">
        <v>45350</v>
      </c>
      <c r="C90" t="s">
        <v>158</v>
      </c>
      <c r="D90" t="s">
        <v>61</v>
      </c>
      <c r="E90" t="s">
        <v>62</v>
      </c>
      <c r="F90">
        <v>3</v>
      </c>
      <c r="G90">
        <v>528000</v>
      </c>
      <c r="H90">
        <v>270000</v>
      </c>
      <c r="I90">
        <v>258000</v>
      </c>
      <c r="J90">
        <v>20</v>
      </c>
      <c r="K90" t="s">
        <v>30</v>
      </c>
      <c r="L90" t="s">
        <v>19</v>
      </c>
      <c r="M90" t="s">
        <v>27</v>
      </c>
      <c r="N90">
        <v>6</v>
      </c>
      <c r="O90">
        <f t="shared" si="4"/>
        <v>48.86</v>
      </c>
      <c r="P90">
        <f t="shared" si="5"/>
        <v>176000</v>
      </c>
      <c r="Q90" t="str">
        <f>VLOOKUP(C90,Customers!$A:$D,3,0)</f>
        <v>West</v>
      </c>
      <c r="R90" t="str">
        <f t="shared" si="6"/>
        <v>February</v>
      </c>
      <c r="S90">
        <f t="shared" si="7"/>
        <v>2</v>
      </c>
      <c r="T90" t="str">
        <f>VLOOKUP(C90,Customers!$A:$B,2,0)</f>
        <v>Tanishq Retail</v>
      </c>
    </row>
    <row r="91" spans="1:20">
      <c r="A91" t="s">
        <v>178</v>
      </c>
      <c r="B91" s="1">
        <v>45449</v>
      </c>
      <c r="C91" t="s">
        <v>139</v>
      </c>
      <c r="D91" t="s">
        <v>82</v>
      </c>
      <c r="E91" t="s">
        <v>54</v>
      </c>
      <c r="F91">
        <v>3</v>
      </c>
      <c r="G91">
        <v>413250</v>
      </c>
      <c r="H91">
        <v>180000</v>
      </c>
      <c r="I91">
        <v>233250</v>
      </c>
      <c r="J91">
        <v>5</v>
      </c>
      <c r="K91" t="s">
        <v>30</v>
      </c>
      <c r="L91" t="s">
        <v>47</v>
      </c>
      <c r="M91" t="s">
        <v>37</v>
      </c>
      <c r="N91">
        <v>24</v>
      </c>
      <c r="O91">
        <f t="shared" si="4"/>
        <v>56.44</v>
      </c>
      <c r="P91">
        <f t="shared" si="5"/>
        <v>137750</v>
      </c>
      <c r="Q91" t="str">
        <f>VLOOKUP(C91,Customers!$A:$D,3,0)</f>
        <v>North</v>
      </c>
      <c r="R91" t="str">
        <f t="shared" si="6"/>
        <v>June</v>
      </c>
      <c r="S91">
        <f t="shared" si="7"/>
        <v>6</v>
      </c>
      <c r="T91" t="str">
        <f>VLOOKUP(C91,Customers!$A:$B,2,0)</f>
        <v>PolicyBazaar</v>
      </c>
    </row>
    <row r="92" spans="1:20">
      <c r="A92" t="s">
        <v>179</v>
      </c>
      <c r="B92" s="1">
        <v>45431</v>
      </c>
      <c r="C92" t="s">
        <v>133</v>
      </c>
      <c r="D92" t="s">
        <v>40</v>
      </c>
      <c r="E92" t="s">
        <v>41</v>
      </c>
      <c r="F92">
        <v>1</v>
      </c>
      <c r="G92">
        <v>31500</v>
      </c>
      <c r="H92">
        <v>15000</v>
      </c>
      <c r="I92">
        <v>16500</v>
      </c>
      <c r="J92">
        <v>10</v>
      </c>
      <c r="K92" t="s">
        <v>30</v>
      </c>
      <c r="L92" t="s">
        <v>95</v>
      </c>
      <c r="M92" t="s">
        <v>37</v>
      </c>
      <c r="N92">
        <v>12</v>
      </c>
      <c r="O92">
        <f t="shared" si="4"/>
        <v>52.38</v>
      </c>
      <c r="P92">
        <f t="shared" si="5"/>
        <v>31500</v>
      </c>
      <c r="Q92" t="str">
        <f>VLOOKUP(C92,Customers!$A:$D,3,0)</f>
        <v>South</v>
      </c>
      <c r="R92" t="str">
        <f t="shared" si="6"/>
        <v>May</v>
      </c>
      <c r="S92">
        <f t="shared" si="7"/>
        <v>5</v>
      </c>
      <c r="T92" t="str">
        <f>VLOOKUP(C92,Customers!$A:$B,2,0)</f>
        <v>Razorpay Tech</v>
      </c>
    </row>
    <row r="93" spans="1:20">
      <c r="A93" t="s">
        <v>180</v>
      </c>
      <c r="B93" s="1">
        <v>45648</v>
      </c>
      <c r="C93" t="s">
        <v>139</v>
      </c>
      <c r="D93" t="s">
        <v>82</v>
      </c>
      <c r="E93" t="s">
        <v>54</v>
      </c>
      <c r="F93">
        <v>5</v>
      </c>
      <c r="G93">
        <v>725000</v>
      </c>
      <c r="H93">
        <v>300000</v>
      </c>
      <c r="I93">
        <v>425000</v>
      </c>
      <c r="J93">
        <v>0</v>
      </c>
      <c r="K93" t="s">
        <v>18</v>
      </c>
      <c r="L93" t="s">
        <v>97</v>
      </c>
      <c r="M93" t="s">
        <v>20</v>
      </c>
      <c r="N93">
        <v>3</v>
      </c>
      <c r="O93">
        <f t="shared" si="4"/>
        <v>58.62</v>
      </c>
      <c r="P93">
        <f t="shared" si="5"/>
        <v>145000</v>
      </c>
      <c r="Q93" t="str">
        <f>VLOOKUP(C93,Customers!$A:$D,3,0)</f>
        <v>North</v>
      </c>
      <c r="R93" t="str">
        <f t="shared" si="6"/>
        <v>December</v>
      </c>
      <c r="S93">
        <f t="shared" si="7"/>
        <v>12</v>
      </c>
      <c r="T93" t="str">
        <f>VLOOKUP(C93,Customers!$A:$B,2,0)</f>
        <v>PolicyBazaar</v>
      </c>
    </row>
    <row r="94" spans="1:20">
      <c r="A94" t="s">
        <v>181</v>
      </c>
      <c r="B94" s="1">
        <v>45381</v>
      </c>
      <c r="C94" t="s">
        <v>158</v>
      </c>
      <c r="D94" t="s">
        <v>40</v>
      </c>
      <c r="E94" t="s">
        <v>41</v>
      </c>
      <c r="F94">
        <v>3</v>
      </c>
      <c r="G94">
        <v>105000</v>
      </c>
      <c r="H94">
        <v>45000</v>
      </c>
      <c r="I94">
        <v>60000</v>
      </c>
      <c r="J94">
        <v>0</v>
      </c>
      <c r="K94" t="s">
        <v>25</v>
      </c>
      <c r="L94" t="s">
        <v>95</v>
      </c>
      <c r="M94" t="s">
        <v>59</v>
      </c>
      <c r="N94">
        <v>3</v>
      </c>
      <c r="O94">
        <f t="shared" si="4"/>
        <v>57.14</v>
      </c>
      <c r="P94">
        <f t="shared" si="5"/>
        <v>35000</v>
      </c>
      <c r="Q94" t="str">
        <f>VLOOKUP(C94,Customers!$A:$D,3,0)</f>
        <v>West</v>
      </c>
      <c r="R94" t="str">
        <f t="shared" si="6"/>
        <v>March</v>
      </c>
      <c r="S94">
        <f t="shared" si="7"/>
        <v>3</v>
      </c>
      <c r="T94" t="str">
        <f>VLOOKUP(C94,Customers!$A:$B,2,0)</f>
        <v>Tanishq Retail</v>
      </c>
    </row>
    <row r="95" spans="1:20">
      <c r="A95" t="s">
        <v>182</v>
      </c>
      <c r="B95" s="1">
        <v>45532</v>
      </c>
      <c r="C95" t="s">
        <v>104</v>
      </c>
      <c r="D95" t="s">
        <v>35</v>
      </c>
      <c r="E95" t="s">
        <v>36</v>
      </c>
      <c r="F95">
        <v>1</v>
      </c>
      <c r="G95">
        <v>52000</v>
      </c>
      <c r="H95">
        <v>28000</v>
      </c>
      <c r="I95">
        <v>24000</v>
      </c>
      <c r="J95">
        <v>20</v>
      </c>
      <c r="K95" t="s">
        <v>30</v>
      </c>
      <c r="L95" t="s">
        <v>70</v>
      </c>
      <c r="M95" t="s">
        <v>59</v>
      </c>
      <c r="N95">
        <v>24</v>
      </c>
      <c r="O95">
        <f t="shared" si="4"/>
        <v>46.15</v>
      </c>
      <c r="P95">
        <f t="shared" si="5"/>
        <v>52000</v>
      </c>
      <c r="Q95" t="str">
        <f>VLOOKUP(C95,Customers!$A:$D,3,0)</f>
        <v>South</v>
      </c>
      <c r="R95" t="str">
        <f t="shared" si="6"/>
        <v>August</v>
      </c>
      <c r="S95">
        <f t="shared" si="7"/>
        <v>8</v>
      </c>
      <c r="T95" t="str">
        <f>VLOOKUP(C95,Customers!$A:$B,2,0)</f>
        <v>Ola Cabs</v>
      </c>
    </row>
    <row r="96" spans="1:20">
      <c r="A96" t="s">
        <v>183</v>
      </c>
      <c r="B96" s="1">
        <v>45439</v>
      </c>
      <c r="C96" t="s">
        <v>143</v>
      </c>
      <c r="D96" t="s">
        <v>53</v>
      </c>
      <c r="E96" t="s">
        <v>54</v>
      </c>
      <c r="F96">
        <v>1</v>
      </c>
      <c r="G96">
        <v>190000</v>
      </c>
      <c r="H96">
        <v>85000</v>
      </c>
      <c r="I96">
        <v>105000</v>
      </c>
      <c r="J96">
        <v>5</v>
      </c>
      <c r="K96" t="s">
        <v>30</v>
      </c>
      <c r="L96" t="s">
        <v>70</v>
      </c>
      <c r="M96" t="s">
        <v>37</v>
      </c>
      <c r="N96">
        <v>12</v>
      </c>
      <c r="O96">
        <f t="shared" si="4"/>
        <v>55.26</v>
      </c>
      <c r="P96">
        <f t="shared" si="5"/>
        <v>190000</v>
      </c>
      <c r="Q96" t="str">
        <f>VLOOKUP(C96,Customers!$A:$D,3,0)</f>
        <v>North</v>
      </c>
      <c r="R96" t="str">
        <f t="shared" si="6"/>
        <v>May</v>
      </c>
      <c r="S96">
        <f t="shared" si="7"/>
        <v>5</v>
      </c>
      <c r="T96" t="str">
        <f>VLOOKUP(C96,Customers!$A:$B,2,0)</f>
        <v>Nykaa Fashion</v>
      </c>
    </row>
    <row r="97" spans="1:20">
      <c r="A97" t="s">
        <v>184</v>
      </c>
      <c r="B97" s="1">
        <v>45351</v>
      </c>
      <c r="C97" t="s">
        <v>143</v>
      </c>
      <c r="D97" t="s">
        <v>80</v>
      </c>
      <c r="E97" t="s">
        <v>41</v>
      </c>
      <c r="F97">
        <v>1</v>
      </c>
      <c r="G97">
        <v>44200</v>
      </c>
      <c r="H97">
        <v>22000</v>
      </c>
      <c r="I97">
        <v>22200</v>
      </c>
      <c r="J97">
        <v>15</v>
      </c>
      <c r="K97" t="s">
        <v>25</v>
      </c>
      <c r="L97" t="s">
        <v>47</v>
      </c>
      <c r="M97" t="s">
        <v>59</v>
      </c>
      <c r="N97">
        <v>3</v>
      </c>
      <c r="O97">
        <f t="shared" si="4"/>
        <v>50.23</v>
      </c>
      <c r="P97">
        <f t="shared" si="5"/>
        <v>44200</v>
      </c>
      <c r="Q97" t="str">
        <f>VLOOKUP(C97,Customers!$A:$D,3,0)</f>
        <v>North</v>
      </c>
      <c r="R97" t="str">
        <f t="shared" si="6"/>
        <v>February</v>
      </c>
      <c r="S97">
        <f t="shared" si="7"/>
        <v>2</v>
      </c>
      <c r="T97" t="str">
        <f>VLOOKUP(C97,Customers!$A:$B,2,0)</f>
        <v>Nykaa Fashion</v>
      </c>
    </row>
    <row r="98" spans="1:20">
      <c r="A98" t="s">
        <v>185</v>
      </c>
      <c r="B98" s="1">
        <v>45388</v>
      </c>
      <c r="C98" t="s">
        <v>131</v>
      </c>
      <c r="D98" t="s">
        <v>76</v>
      </c>
      <c r="E98" t="s">
        <v>41</v>
      </c>
      <c r="F98">
        <v>4</v>
      </c>
      <c r="G98">
        <v>134400</v>
      </c>
      <c r="H98">
        <v>72000</v>
      </c>
      <c r="I98">
        <v>62400</v>
      </c>
      <c r="J98">
        <v>20</v>
      </c>
      <c r="K98" t="s">
        <v>30</v>
      </c>
      <c r="L98" t="s">
        <v>58</v>
      </c>
      <c r="M98" t="s">
        <v>37</v>
      </c>
      <c r="N98">
        <v>6</v>
      </c>
      <c r="O98">
        <f t="shared" si="4"/>
        <v>46.43</v>
      </c>
      <c r="P98">
        <f t="shared" si="5"/>
        <v>33600</v>
      </c>
      <c r="Q98" t="str">
        <f>VLOOKUP(C98,Customers!$A:$D,3,0)</f>
        <v>North</v>
      </c>
      <c r="R98" t="str">
        <f t="shared" si="6"/>
        <v>April</v>
      </c>
      <c r="S98">
        <f t="shared" si="7"/>
        <v>4</v>
      </c>
      <c r="T98" t="str">
        <f>VLOOKUP(C98,Customers!$A:$B,2,0)</f>
        <v>Lenskart Vision</v>
      </c>
    </row>
    <row r="99" spans="1:20">
      <c r="A99" t="s">
        <v>186</v>
      </c>
      <c r="B99" s="1">
        <v>45439</v>
      </c>
      <c r="C99" t="s">
        <v>167</v>
      </c>
      <c r="D99" t="s">
        <v>76</v>
      </c>
      <c r="E99" t="s">
        <v>41</v>
      </c>
      <c r="F99">
        <v>1</v>
      </c>
      <c r="G99">
        <v>42000</v>
      </c>
      <c r="H99">
        <v>18000</v>
      </c>
      <c r="I99">
        <v>24000</v>
      </c>
      <c r="J99">
        <v>0</v>
      </c>
      <c r="K99" t="s">
        <v>18</v>
      </c>
      <c r="L99" t="s">
        <v>26</v>
      </c>
      <c r="M99" t="s">
        <v>32</v>
      </c>
      <c r="N99">
        <v>6</v>
      </c>
      <c r="O99">
        <f t="shared" si="4"/>
        <v>57.14</v>
      </c>
      <c r="P99">
        <f t="shared" si="5"/>
        <v>42000</v>
      </c>
      <c r="Q99" t="str">
        <f>VLOOKUP(C99,Customers!$A:$D,3,0)</f>
        <v>South</v>
      </c>
      <c r="R99" t="str">
        <f t="shared" si="6"/>
        <v>May</v>
      </c>
      <c r="S99">
        <f t="shared" si="7"/>
        <v>5</v>
      </c>
      <c r="T99" t="str">
        <f>VLOOKUP(C99,Customers!$A:$B,2,0)</f>
        <v>Flipkart India</v>
      </c>
    </row>
    <row r="100" spans="1:20">
      <c r="A100" t="s">
        <v>187</v>
      </c>
      <c r="B100" s="1">
        <v>45451</v>
      </c>
      <c r="C100" t="s">
        <v>91</v>
      </c>
      <c r="D100" t="s">
        <v>89</v>
      </c>
      <c r="E100" t="s">
        <v>45</v>
      </c>
      <c r="F100">
        <v>1</v>
      </c>
      <c r="G100">
        <v>160000</v>
      </c>
      <c r="H100">
        <v>70000</v>
      </c>
      <c r="I100">
        <v>90000</v>
      </c>
      <c r="J100">
        <v>0</v>
      </c>
      <c r="K100" t="s">
        <v>30</v>
      </c>
      <c r="L100" t="s">
        <v>47</v>
      </c>
      <c r="M100" t="s">
        <v>27</v>
      </c>
      <c r="N100">
        <v>6</v>
      </c>
      <c r="O100">
        <f t="shared" si="4"/>
        <v>56.25</v>
      </c>
      <c r="P100">
        <f t="shared" si="5"/>
        <v>160000</v>
      </c>
      <c r="Q100" t="str">
        <f>VLOOKUP(C100,Customers!$A:$D,3,0)</f>
        <v>South</v>
      </c>
      <c r="R100" t="str">
        <f t="shared" si="6"/>
        <v>June</v>
      </c>
      <c r="S100">
        <f t="shared" si="7"/>
        <v>6</v>
      </c>
      <c r="T100" t="str">
        <f>VLOOKUP(C100,Customers!$A:$B,2,0)</f>
        <v>CRED Fintech</v>
      </c>
    </row>
    <row r="101" spans="1:20">
      <c r="A101" t="s">
        <v>188</v>
      </c>
      <c r="B101" s="1">
        <v>45547</v>
      </c>
      <c r="C101" t="s">
        <v>173</v>
      </c>
      <c r="D101" t="s">
        <v>80</v>
      </c>
      <c r="E101" t="s">
        <v>41</v>
      </c>
      <c r="F101">
        <v>3</v>
      </c>
      <c r="G101">
        <v>148200</v>
      </c>
      <c r="H101">
        <v>66000</v>
      </c>
      <c r="I101">
        <v>82200</v>
      </c>
      <c r="J101">
        <v>5</v>
      </c>
      <c r="K101" t="s">
        <v>30</v>
      </c>
      <c r="L101" t="s">
        <v>47</v>
      </c>
      <c r="M101" t="s">
        <v>32</v>
      </c>
      <c r="N101">
        <v>24</v>
      </c>
      <c r="O101">
        <f t="shared" si="4"/>
        <v>55.47</v>
      </c>
      <c r="P101">
        <f t="shared" si="5"/>
        <v>49400</v>
      </c>
      <c r="Q101" t="str">
        <f>VLOOKUP(C101,Customers!$A:$D,3,0)</f>
        <v>South</v>
      </c>
      <c r="R101" t="str">
        <f t="shared" si="6"/>
        <v>September</v>
      </c>
      <c r="S101">
        <f t="shared" si="7"/>
        <v>9</v>
      </c>
      <c r="T101" t="str">
        <f>VLOOKUP(C101,Customers!$A:$B,2,0)</f>
        <v>Byju's Learning</v>
      </c>
    </row>
    <row r="102" spans="1:20">
      <c r="A102" t="s">
        <v>189</v>
      </c>
      <c r="B102" s="1">
        <v>45586</v>
      </c>
      <c r="C102" t="s">
        <v>136</v>
      </c>
      <c r="D102" t="s">
        <v>67</v>
      </c>
      <c r="E102" t="s">
        <v>54</v>
      </c>
      <c r="F102">
        <v>5</v>
      </c>
      <c r="G102">
        <v>374000</v>
      </c>
      <c r="H102">
        <v>190000</v>
      </c>
      <c r="I102">
        <v>184000</v>
      </c>
      <c r="J102">
        <v>15</v>
      </c>
      <c r="K102" t="s">
        <v>30</v>
      </c>
      <c r="L102" t="s">
        <v>19</v>
      </c>
      <c r="M102" t="s">
        <v>37</v>
      </c>
      <c r="N102">
        <v>24</v>
      </c>
      <c r="O102">
        <f t="shared" si="4"/>
        <v>49.2</v>
      </c>
      <c r="P102">
        <f t="shared" si="5"/>
        <v>74800</v>
      </c>
      <c r="Q102" t="str">
        <f>VLOOKUP(C102,Customers!$A:$D,3,0)</f>
        <v>North</v>
      </c>
      <c r="R102" t="str">
        <f t="shared" si="6"/>
        <v>October</v>
      </c>
      <c r="S102">
        <f t="shared" si="7"/>
        <v>10</v>
      </c>
      <c r="T102" t="str">
        <f>VLOOKUP(C102,Customers!$A:$B,2,0)</f>
        <v>BharatPe</v>
      </c>
    </row>
    <row r="103" spans="1:20">
      <c r="A103" t="s">
        <v>190</v>
      </c>
      <c r="B103" s="1">
        <v>45466</v>
      </c>
      <c r="C103" t="s">
        <v>124</v>
      </c>
      <c r="D103" t="s">
        <v>50</v>
      </c>
      <c r="E103" t="s">
        <v>17</v>
      </c>
      <c r="F103">
        <v>1</v>
      </c>
      <c r="G103">
        <v>47500</v>
      </c>
      <c r="H103">
        <v>20000</v>
      </c>
      <c r="I103">
        <v>27500</v>
      </c>
      <c r="J103">
        <v>5</v>
      </c>
      <c r="K103" t="s">
        <v>18</v>
      </c>
      <c r="L103" t="s">
        <v>97</v>
      </c>
      <c r="M103" t="s">
        <v>20</v>
      </c>
      <c r="N103">
        <v>24</v>
      </c>
      <c r="O103">
        <f t="shared" si="4"/>
        <v>57.89</v>
      </c>
      <c r="P103">
        <f t="shared" si="5"/>
        <v>47500</v>
      </c>
      <c r="Q103" t="str">
        <f>VLOOKUP(C103,Customers!$A:$D,3,0)</f>
        <v>South</v>
      </c>
      <c r="R103" t="str">
        <f t="shared" si="6"/>
        <v>June</v>
      </c>
      <c r="S103">
        <f t="shared" si="7"/>
        <v>6</v>
      </c>
      <c r="T103" t="str">
        <f>VLOOKUP(C103,Customers!$A:$B,2,0)</f>
        <v>Zerodha Capital</v>
      </c>
    </row>
    <row r="104" spans="1:20">
      <c r="A104" t="s">
        <v>191</v>
      </c>
      <c r="B104" s="1">
        <v>45368</v>
      </c>
      <c r="C104" t="s">
        <v>133</v>
      </c>
      <c r="D104" t="s">
        <v>44</v>
      </c>
      <c r="E104" t="s">
        <v>45</v>
      </c>
      <c r="F104">
        <v>3</v>
      </c>
      <c r="G104">
        <v>756000</v>
      </c>
      <c r="H104">
        <v>360000</v>
      </c>
      <c r="I104">
        <v>396000</v>
      </c>
      <c r="J104">
        <v>10</v>
      </c>
      <c r="K104" t="s">
        <v>25</v>
      </c>
      <c r="L104" t="s">
        <v>95</v>
      </c>
      <c r="M104" t="s">
        <v>59</v>
      </c>
      <c r="N104">
        <v>12</v>
      </c>
      <c r="O104">
        <f t="shared" si="4"/>
        <v>52.38</v>
      </c>
      <c r="P104">
        <f t="shared" si="5"/>
        <v>252000</v>
      </c>
      <c r="Q104" t="str">
        <f>VLOOKUP(C104,Customers!$A:$D,3,0)</f>
        <v>South</v>
      </c>
      <c r="R104" t="str">
        <f t="shared" si="6"/>
        <v>March</v>
      </c>
      <c r="S104">
        <f t="shared" si="7"/>
        <v>3</v>
      </c>
      <c r="T104" t="str">
        <f>VLOOKUP(C104,Customers!$A:$B,2,0)</f>
        <v>Razorpay Tech</v>
      </c>
    </row>
    <row r="105" spans="1:20">
      <c r="A105" t="s">
        <v>192</v>
      </c>
      <c r="B105" s="1">
        <v>45388</v>
      </c>
      <c r="C105" t="s">
        <v>65</v>
      </c>
      <c r="D105" t="s">
        <v>82</v>
      </c>
      <c r="E105" t="s">
        <v>54</v>
      </c>
      <c r="F105">
        <v>4</v>
      </c>
      <c r="G105">
        <v>580000</v>
      </c>
      <c r="H105">
        <v>240000</v>
      </c>
      <c r="I105">
        <v>340000</v>
      </c>
      <c r="J105">
        <v>0</v>
      </c>
      <c r="K105" t="s">
        <v>30</v>
      </c>
      <c r="L105" t="s">
        <v>31</v>
      </c>
      <c r="M105" t="s">
        <v>37</v>
      </c>
      <c r="N105">
        <v>24</v>
      </c>
      <c r="O105">
        <f t="shared" si="4"/>
        <v>58.62</v>
      </c>
      <c r="P105">
        <f t="shared" si="5"/>
        <v>145000</v>
      </c>
      <c r="Q105" t="str">
        <f>VLOOKUP(C105,Customers!$A:$D,3,0)</f>
        <v>North</v>
      </c>
      <c r="R105" t="str">
        <f t="shared" si="6"/>
        <v>April</v>
      </c>
      <c r="S105">
        <f t="shared" si="7"/>
        <v>4</v>
      </c>
      <c r="T105" t="str">
        <f>VLOOKUP(C105,Customers!$A:$B,2,0)</f>
        <v>Zomato Pvt Ltd</v>
      </c>
    </row>
    <row r="106" spans="1:20">
      <c r="A106" t="s">
        <v>193</v>
      </c>
      <c r="B106" s="1">
        <v>45653</v>
      </c>
      <c r="C106" t="s">
        <v>143</v>
      </c>
      <c r="D106" t="s">
        <v>154</v>
      </c>
      <c r="E106" t="s">
        <v>45</v>
      </c>
      <c r="F106">
        <v>2</v>
      </c>
      <c r="G106">
        <v>247000</v>
      </c>
      <c r="H106">
        <v>110000</v>
      </c>
      <c r="I106">
        <v>137000</v>
      </c>
      <c r="J106">
        <v>5</v>
      </c>
      <c r="K106" t="s">
        <v>30</v>
      </c>
      <c r="L106" t="s">
        <v>51</v>
      </c>
      <c r="M106" t="s">
        <v>20</v>
      </c>
      <c r="N106">
        <v>12</v>
      </c>
      <c r="O106">
        <f t="shared" si="4"/>
        <v>55.47</v>
      </c>
      <c r="P106">
        <f t="shared" si="5"/>
        <v>123500</v>
      </c>
      <c r="Q106" t="str">
        <f>VLOOKUP(C106,Customers!$A:$D,3,0)</f>
        <v>North</v>
      </c>
      <c r="R106" t="str">
        <f t="shared" si="6"/>
        <v>December</v>
      </c>
      <c r="S106">
        <f t="shared" si="7"/>
        <v>12</v>
      </c>
      <c r="T106" t="str">
        <f>VLOOKUP(C106,Customers!$A:$B,2,0)</f>
        <v>Nykaa Fashion</v>
      </c>
    </row>
    <row r="107" spans="1:20">
      <c r="A107" t="s">
        <v>194</v>
      </c>
      <c r="B107" s="1">
        <v>45343</v>
      </c>
      <c r="C107" t="s">
        <v>79</v>
      </c>
      <c r="D107" t="s">
        <v>69</v>
      </c>
      <c r="E107" t="s">
        <v>62</v>
      </c>
      <c r="F107">
        <v>5</v>
      </c>
      <c r="G107">
        <v>451250</v>
      </c>
      <c r="H107">
        <v>200000</v>
      </c>
      <c r="I107">
        <v>251250</v>
      </c>
      <c r="J107">
        <v>5</v>
      </c>
      <c r="K107" t="s">
        <v>30</v>
      </c>
      <c r="L107" t="s">
        <v>51</v>
      </c>
      <c r="M107" t="s">
        <v>59</v>
      </c>
      <c r="N107">
        <v>6</v>
      </c>
      <c r="O107">
        <f t="shared" si="4"/>
        <v>55.68</v>
      </c>
      <c r="P107">
        <f t="shared" si="5"/>
        <v>90250</v>
      </c>
      <c r="Q107" t="str">
        <f>VLOOKUP(C107,Customers!$A:$D,3,0)</f>
        <v>West</v>
      </c>
      <c r="R107" t="str">
        <f t="shared" si="6"/>
        <v>February</v>
      </c>
      <c r="S107">
        <f t="shared" si="7"/>
        <v>2</v>
      </c>
      <c r="T107" t="str">
        <f>VLOOKUP(C107,Customers!$A:$B,2,0)</f>
        <v>Dream11 Sports</v>
      </c>
    </row>
    <row r="108" spans="1:20">
      <c r="A108" t="s">
        <v>195</v>
      </c>
      <c r="B108" s="1">
        <v>45330</v>
      </c>
      <c r="C108" t="s">
        <v>15</v>
      </c>
      <c r="D108" t="s">
        <v>35</v>
      </c>
      <c r="E108" t="s">
        <v>36</v>
      </c>
      <c r="F108">
        <v>5</v>
      </c>
      <c r="G108">
        <v>276250</v>
      </c>
      <c r="H108">
        <v>140000</v>
      </c>
      <c r="I108">
        <v>136250</v>
      </c>
      <c r="J108">
        <v>15</v>
      </c>
      <c r="K108" t="s">
        <v>30</v>
      </c>
      <c r="L108" t="s">
        <v>19</v>
      </c>
      <c r="M108" t="s">
        <v>37</v>
      </c>
      <c r="N108">
        <v>24</v>
      </c>
      <c r="O108">
        <f t="shared" si="4"/>
        <v>49.32</v>
      </c>
      <c r="P108">
        <f t="shared" si="5"/>
        <v>55250</v>
      </c>
      <c r="Q108" t="str">
        <f>VLOOKUP(C108,Customers!$A:$D,3,0)</f>
        <v>South</v>
      </c>
      <c r="R108" t="str">
        <f t="shared" si="6"/>
        <v>February</v>
      </c>
      <c r="S108">
        <f t="shared" si="7"/>
        <v>2</v>
      </c>
      <c r="T108" t="str">
        <f>VLOOKUP(C108,Customers!$A:$B,2,0)</f>
        <v>Swiggy Inc</v>
      </c>
    </row>
    <row r="109" spans="1:20">
      <c r="A109" t="s">
        <v>196</v>
      </c>
      <c r="B109" s="1">
        <v>45454</v>
      </c>
      <c r="C109" t="s">
        <v>94</v>
      </c>
      <c r="D109" t="s">
        <v>76</v>
      </c>
      <c r="E109" t="s">
        <v>41</v>
      </c>
      <c r="F109">
        <v>5</v>
      </c>
      <c r="G109">
        <v>210000</v>
      </c>
      <c r="H109">
        <v>90000</v>
      </c>
      <c r="I109">
        <v>120000</v>
      </c>
      <c r="J109">
        <v>0</v>
      </c>
      <c r="K109" t="s">
        <v>25</v>
      </c>
      <c r="L109" t="s">
        <v>19</v>
      </c>
      <c r="M109" t="s">
        <v>32</v>
      </c>
      <c r="N109">
        <v>12</v>
      </c>
      <c r="O109">
        <f t="shared" si="4"/>
        <v>57.14</v>
      </c>
      <c r="P109">
        <f t="shared" si="5"/>
        <v>42000</v>
      </c>
      <c r="Q109" t="str">
        <f>VLOOKUP(C109,Customers!$A:$D,3,0)</f>
        <v>South</v>
      </c>
      <c r="R109" t="str">
        <f t="shared" si="6"/>
        <v>June</v>
      </c>
      <c r="S109">
        <f t="shared" si="7"/>
        <v>6</v>
      </c>
      <c r="T109" t="str">
        <f>VLOOKUP(C109,Customers!$A:$B,2,0)</f>
        <v>PhonePe Pay</v>
      </c>
    </row>
    <row r="110" spans="1:20">
      <c r="A110" t="s">
        <v>197</v>
      </c>
      <c r="B110" s="1">
        <v>45408</v>
      </c>
      <c r="C110" t="s">
        <v>29</v>
      </c>
      <c r="D110" t="s">
        <v>69</v>
      </c>
      <c r="E110" t="s">
        <v>62</v>
      </c>
      <c r="F110">
        <v>1</v>
      </c>
      <c r="G110">
        <v>90250</v>
      </c>
      <c r="H110">
        <v>40000</v>
      </c>
      <c r="I110">
        <v>50250</v>
      </c>
      <c r="J110">
        <v>5</v>
      </c>
      <c r="K110" t="s">
        <v>30</v>
      </c>
      <c r="L110" t="s">
        <v>97</v>
      </c>
      <c r="M110" t="s">
        <v>27</v>
      </c>
      <c r="N110">
        <v>3</v>
      </c>
      <c r="O110">
        <f t="shared" si="4"/>
        <v>55.68</v>
      </c>
      <c r="P110">
        <f t="shared" si="5"/>
        <v>90250</v>
      </c>
      <c r="Q110" t="str">
        <f>VLOOKUP(C110,Customers!$A:$D,3,0)</f>
        <v>South</v>
      </c>
      <c r="R110" t="str">
        <f t="shared" si="6"/>
        <v>April</v>
      </c>
      <c r="S110">
        <f t="shared" si="7"/>
        <v>4</v>
      </c>
      <c r="T110" t="str">
        <f>VLOOKUP(C110,Customers!$A:$B,2,0)</f>
        <v>Meesho Network</v>
      </c>
    </row>
    <row r="111" spans="1:20">
      <c r="A111" t="s">
        <v>198</v>
      </c>
      <c r="B111" s="1">
        <v>45458</v>
      </c>
      <c r="C111" t="s">
        <v>173</v>
      </c>
      <c r="D111" t="s">
        <v>44</v>
      </c>
      <c r="E111" t="s">
        <v>45</v>
      </c>
      <c r="F111">
        <v>3</v>
      </c>
      <c r="G111">
        <v>798000</v>
      </c>
      <c r="H111">
        <v>360000</v>
      </c>
      <c r="I111">
        <v>438000</v>
      </c>
      <c r="J111">
        <v>5</v>
      </c>
      <c r="K111" t="s">
        <v>30</v>
      </c>
      <c r="L111" t="s">
        <v>58</v>
      </c>
      <c r="M111" t="s">
        <v>20</v>
      </c>
      <c r="N111">
        <v>24</v>
      </c>
      <c r="O111">
        <f t="shared" si="4"/>
        <v>54.89</v>
      </c>
      <c r="P111">
        <f t="shared" si="5"/>
        <v>266000</v>
      </c>
      <c r="Q111" t="str">
        <f>VLOOKUP(C111,Customers!$A:$D,3,0)</f>
        <v>South</v>
      </c>
      <c r="R111" t="str">
        <f t="shared" si="6"/>
        <v>June</v>
      </c>
      <c r="S111">
        <f t="shared" si="7"/>
        <v>6</v>
      </c>
      <c r="T111" t="str">
        <f>VLOOKUP(C111,Customers!$A:$B,2,0)</f>
        <v>Byju's Learning</v>
      </c>
    </row>
    <row r="112" spans="1:20">
      <c r="A112" t="s">
        <v>199</v>
      </c>
      <c r="B112" s="1">
        <v>45581</v>
      </c>
      <c r="C112" t="s">
        <v>122</v>
      </c>
      <c r="D112" t="s">
        <v>101</v>
      </c>
      <c r="E112" t="s">
        <v>62</v>
      </c>
      <c r="F112">
        <v>2</v>
      </c>
      <c r="G112">
        <v>160000</v>
      </c>
      <c r="H112">
        <v>70000</v>
      </c>
      <c r="I112">
        <v>90000</v>
      </c>
      <c r="J112">
        <v>0</v>
      </c>
      <c r="K112" t="s">
        <v>25</v>
      </c>
      <c r="L112" t="s">
        <v>95</v>
      </c>
      <c r="M112" t="s">
        <v>20</v>
      </c>
      <c r="N112">
        <v>6</v>
      </c>
      <c r="O112">
        <f t="shared" si="4"/>
        <v>56.25</v>
      </c>
      <c r="P112">
        <f t="shared" si="5"/>
        <v>80000</v>
      </c>
      <c r="Q112" t="str">
        <f>VLOOKUP(C112,Customers!$A:$D,3,0)</f>
        <v>West</v>
      </c>
      <c r="R112" t="str">
        <f t="shared" si="6"/>
        <v>October</v>
      </c>
      <c r="S112">
        <f t="shared" si="7"/>
        <v>10</v>
      </c>
      <c r="T112" t="str">
        <f>VLOOKUP(C112,Customers!$A:$B,2,0)</f>
        <v>HDFC Bank</v>
      </c>
    </row>
    <row r="113" spans="1:20">
      <c r="A113" t="s">
        <v>200</v>
      </c>
      <c r="B113" s="1">
        <v>45546</v>
      </c>
      <c r="C113" t="s">
        <v>88</v>
      </c>
      <c r="D113" t="s">
        <v>16</v>
      </c>
      <c r="E113" t="s">
        <v>17</v>
      </c>
      <c r="F113">
        <v>4</v>
      </c>
      <c r="G113">
        <v>238000</v>
      </c>
      <c r="H113">
        <v>120000</v>
      </c>
      <c r="I113">
        <v>118000</v>
      </c>
      <c r="J113">
        <v>15</v>
      </c>
      <c r="K113" t="s">
        <v>30</v>
      </c>
      <c r="L113" t="s">
        <v>47</v>
      </c>
      <c r="M113" t="s">
        <v>37</v>
      </c>
      <c r="N113">
        <v>3</v>
      </c>
      <c r="O113">
        <f t="shared" si="4"/>
        <v>49.58</v>
      </c>
      <c r="P113">
        <f t="shared" si="5"/>
        <v>59500</v>
      </c>
      <c r="Q113" t="str">
        <f>VLOOKUP(C113,Customers!$A:$D,3,0)</f>
        <v>West</v>
      </c>
      <c r="R113" t="str">
        <f t="shared" si="6"/>
        <v>September</v>
      </c>
      <c r="S113">
        <f t="shared" si="7"/>
        <v>9</v>
      </c>
      <c r="T113" t="str">
        <f>VLOOKUP(C113,Customers!$A:$B,2,0)</f>
        <v>Reliance Digital</v>
      </c>
    </row>
    <row r="114" spans="1:20">
      <c r="A114" t="s">
        <v>201</v>
      </c>
      <c r="B114" s="1">
        <v>45530</v>
      </c>
      <c r="C114" t="s">
        <v>49</v>
      </c>
      <c r="D114" t="s">
        <v>53</v>
      </c>
      <c r="E114" t="s">
        <v>54</v>
      </c>
      <c r="F114">
        <v>2</v>
      </c>
      <c r="G114">
        <v>400000</v>
      </c>
      <c r="H114">
        <v>170000</v>
      </c>
      <c r="I114">
        <v>230000</v>
      </c>
      <c r="J114">
        <v>0</v>
      </c>
      <c r="K114" t="s">
        <v>30</v>
      </c>
      <c r="L114" t="s">
        <v>70</v>
      </c>
      <c r="M114" t="s">
        <v>20</v>
      </c>
      <c r="N114">
        <v>12</v>
      </c>
      <c r="O114">
        <f t="shared" si="4"/>
        <v>57.5</v>
      </c>
      <c r="P114">
        <f t="shared" si="5"/>
        <v>200000</v>
      </c>
      <c r="Q114" t="str">
        <f>VLOOKUP(C114,Customers!$A:$D,3,0)</f>
        <v>South</v>
      </c>
      <c r="R114" t="str">
        <f t="shared" si="6"/>
        <v>August</v>
      </c>
      <c r="S114">
        <f t="shared" si="7"/>
        <v>8</v>
      </c>
      <c r="T114" t="str">
        <f>VLOOKUP(C114,Customers!$A:$B,2,0)</f>
        <v>Myntra Fashion</v>
      </c>
    </row>
    <row r="115" spans="1:20">
      <c r="A115" t="s">
        <v>202</v>
      </c>
      <c r="B115" s="1">
        <v>45619</v>
      </c>
      <c r="C115" t="s">
        <v>167</v>
      </c>
      <c r="D115" t="s">
        <v>50</v>
      </c>
      <c r="E115" t="s">
        <v>17</v>
      </c>
      <c r="F115">
        <v>4</v>
      </c>
      <c r="G115">
        <v>160000</v>
      </c>
      <c r="H115">
        <v>80000</v>
      </c>
      <c r="I115">
        <v>80000</v>
      </c>
      <c r="J115">
        <v>20</v>
      </c>
      <c r="K115" t="s">
        <v>30</v>
      </c>
      <c r="L115" t="s">
        <v>58</v>
      </c>
      <c r="M115" t="s">
        <v>59</v>
      </c>
      <c r="N115">
        <v>24</v>
      </c>
      <c r="O115">
        <f t="shared" si="4"/>
        <v>50</v>
      </c>
      <c r="P115">
        <f t="shared" si="5"/>
        <v>40000</v>
      </c>
      <c r="Q115" t="str">
        <f>VLOOKUP(C115,Customers!$A:$D,3,0)</f>
        <v>South</v>
      </c>
      <c r="R115" t="str">
        <f t="shared" si="6"/>
        <v>November</v>
      </c>
      <c r="S115">
        <f t="shared" si="7"/>
        <v>11</v>
      </c>
      <c r="T115" t="str">
        <f>VLOOKUP(C115,Customers!$A:$B,2,0)</f>
        <v>Flipkart India</v>
      </c>
    </row>
    <row r="116" spans="1:20">
      <c r="A116" t="s">
        <v>203</v>
      </c>
      <c r="B116" s="1">
        <v>45635</v>
      </c>
      <c r="C116" t="s">
        <v>115</v>
      </c>
      <c r="D116" t="s">
        <v>82</v>
      </c>
      <c r="E116" t="s">
        <v>54</v>
      </c>
      <c r="F116">
        <v>3</v>
      </c>
      <c r="G116">
        <v>369750</v>
      </c>
      <c r="H116">
        <v>180000</v>
      </c>
      <c r="I116">
        <v>189750</v>
      </c>
      <c r="J116">
        <v>15</v>
      </c>
      <c r="K116" t="s">
        <v>30</v>
      </c>
      <c r="L116" t="s">
        <v>31</v>
      </c>
      <c r="M116" t="s">
        <v>59</v>
      </c>
      <c r="N116">
        <v>12</v>
      </c>
      <c r="O116">
        <f t="shared" si="4"/>
        <v>51.32</v>
      </c>
      <c r="P116">
        <f t="shared" si="5"/>
        <v>123250</v>
      </c>
      <c r="Q116" t="str">
        <f>VLOOKUP(C116,Customers!$A:$D,3,0)</f>
        <v>North</v>
      </c>
      <c r="R116" t="str">
        <f t="shared" si="6"/>
        <v>December</v>
      </c>
      <c r="S116">
        <f t="shared" si="7"/>
        <v>12</v>
      </c>
      <c r="T116" t="str">
        <f>VLOOKUP(C116,Customers!$A:$B,2,0)</f>
        <v>Paytm Services</v>
      </c>
    </row>
    <row r="117" spans="1:20">
      <c r="A117" t="s">
        <v>204</v>
      </c>
      <c r="B117" s="1">
        <v>45296</v>
      </c>
      <c r="C117" t="s">
        <v>49</v>
      </c>
      <c r="D117" t="s">
        <v>86</v>
      </c>
      <c r="E117" t="s">
        <v>24</v>
      </c>
      <c r="F117">
        <v>5</v>
      </c>
      <c r="G117">
        <v>595000</v>
      </c>
      <c r="H117">
        <v>300000</v>
      </c>
      <c r="I117">
        <v>295000</v>
      </c>
      <c r="J117">
        <v>15</v>
      </c>
      <c r="K117" t="s">
        <v>30</v>
      </c>
      <c r="L117" t="s">
        <v>97</v>
      </c>
      <c r="M117" t="s">
        <v>32</v>
      </c>
      <c r="N117">
        <v>12</v>
      </c>
      <c r="O117">
        <f t="shared" si="4"/>
        <v>49.58</v>
      </c>
      <c r="P117">
        <f t="shared" si="5"/>
        <v>119000</v>
      </c>
      <c r="Q117" t="str">
        <f>VLOOKUP(C117,Customers!$A:$D,3,0)</f>
        <v>South</v>
      </c>
      <c r="R117" t="str">
        <f t="shared" si="6"/>
        <v>January</v>
      </c>
      <c r="S117">
        <f t="shared" si="7"/>
        <v>1</v>
      </c>
      <c r="T117" t="str">
        <f>VLOOKUP(C117,Customers!$A:$B,2,0)</f>
        <v>Myntra Fashion</v>
      </c>
    </row>
    <row r="118" spans="1:20">
      <c r="A118" t="s">
        <v>205</v>
      </c>
      <c r="B118" s="1">
        <v>45404</v>
      </c>
      <c r="C118" t="s">
        <v>131</v>
      </c>
      <c r="D118" t="s">
        <v>50</v>
      </c>
      <c r="E118" t="s">
        <v>17</v>
      </c>
      <c r="F118">
        <v>2</v>
      </c>
      <c r="G118">
        <v>85000</v>
      </c>
      <c r="H118">
        <v>40000</v>
      </c>
      <c r="I118">
        <v>45000</v>
      </c>
      <c r="J118">
        <v>15</v>
      </c>
      <c r="K118" t="s">
        <v>30</v>
      </c>
      <c r="L118" t="s">
        <v>31</v>
      </c>
      <c r="M118" t="s">
        <v>37</v>
      </c>
      <c r="N118">
        <v>24</v>
      </c>
      <c r="O118">
        <f t="shared" si="4"/>
        <v>52.94</v>
      </c>
      <c r="P118">
        <f t="shared" si="5"/>
        <v>42500</v>
      </c>
      <c r="Q118" t="str">
        <f>VLOOKUP(C118,Customers!$A:$D,3,0)</f>
        <v>North</v>
      </c>
      <c r="R118" t="str">
        <f t="shared" si="6"/>
        <v>April</v>
      </c>
      <c r="S118">
        <f t="shared" si="7"/>
        <v>4</v>
      </c>
      <c r="T118" t="str">
        <f>VLOOKUP(C118,Customers!$A:$B,2,0)</f>
        <v>Lenskart Vision</v>
      </c>
    </row>
    <row r="119" spans="1:20">
      <c r="A119" t="s">
        <v>206</v>
      </c>
      <c r="B119" s="1">
        <v>45309</v>
      </c>
      <c r="C119" t="s">
        <v>39</v>
      </c>
      <c r="D119" t="s">
        <v>61</v>
      </c>
      <c r="E119" t="s">
        <v>62</v>
      </c>
      <c r="F119">
        <v>1</v>
      </c>
      <c r="G119">
        <v>209000</v>
      </c>
      <c r="H119">
        <v>90000</v>
      </c>
      <c r="I119">
        <v>119000</v>
      </c>
      <c r="J119">
        <v>5</v>
      </c>
      <c r="K119" t="s">
        <v>30</v>
      </c>
      <c r="L119" t="s">
        <v>95</v>
      </c>
      <c r="M119" t="s">
        <v>32</v>
      </c>
      <c r="N119">
        <v>6</v>
      </c>
      <c r="O119">
        <f t="shared" si="4"/>
        <v>56.94</v>
      </c>
      <c r="P119">
        <f t="shared" si="5"/>
        <v>209000</v>
      </c>
      <c r="Q119" t="str">
        <f>VLOOKUP(C119,Customers!$A:$D,3,0)</f>
        <v>North</v>
      </c>
      <c r="R119" t="str">
        <f t="shared" si="6"/>
        <v>January</v>
      </c>
      <c r="S119">
        <f t="shared" si="7"/>
        <v>1</v>
      </c>
      <c r="T119" t="str">
        <f>VLOOKUP(C119,Customers!$A:$B,2,0)</f>
        <v>Amazon India</v>
      </c>
    </row>
    <row r="120" spans="1:20">
      <c r="A120" t="s">
        <v>207</v>
      </c>
      <c r="B120" s="1">
        <v>45359</v>
      </c>
      <c r="C120" t="s">
        <v>94</v>
      </c>
      <c r="D120" t="s">
        <v>44</v>
      </c>
      <c r="E120" t="s">
        <v>45</v>
      </c>
      <c r="F120">
        <v>5</v>
      </c>
      <c r="G120">
        <v>1260000</v>
      </c>
      <c r="H120">
        <v>600000</v>
      </c>
      <c r="I120">
        <v>660000</v>
      </c>
      <c r="J120">
        <v>10</v>
      </c>
      <c r="K120" t="s">
        <v>30</v>
      </c>
      <c r="L120" t="s">
        <v>51</v>
      </c>
      <c r="M120" t="s">
        <v>37</v>
      </c>
      <c r="N120">
        <v>24</v>
      </c>
      <c r="O120">
        <f t="shared" si="4"/>
        <v>52.38</v>
      </c>
      <c r="P120">
        <f t="shared" si="5"/>
        <v>252000</v>
      </c>
      <c r="Q120" t="str">
        <f>VLOOKUP(C120,Customers!$A:$D,3,0)</f>
        <v>South</v>
      </c>
      <c r="R120" t="str">
        <f t="shared" si="6"/>
        <v>March</v>
      </c>
      <c r="S120">
        <f t="shared" si="7"/>
        <v>3</v>
      </c>
      <c r="T120" t="str">
        <f>VLOOKUP(C120,Customers!$A:$B,2,0)</f>
        <v>PhonePe Pay</v>
      </c>
    </row>
    <row r="121" spans="1:20">
      <c r="A121" t="s">
        <v>208</v>
      </c>
      <c r="B121" s="1">
        <v>45443</v>
      </c>
      <c r="C121" t="s">
        <v>104</v>
      </c>
      <c r="D121" t="s">
        <v>69</v>
      </c>
      <c r="E121" t="s">
        <v>62</v>
      </c>
      <c r="F121">
        <v>4</v>
      </c>
      <c r="G121">
        <v>380000</v>
      </c>
      <c r="H121">
        <v>160000</v>
      </c>
      <c r="I121">
        <v>220000</v>
      </c>
      <c r="J121">
        <v>0</v>
      </c>
      <c r="K121" t="s">
        <v>30</v>
      </c>
      <c r="L121" t="s">
        <v>58</v>
      </c>
      <c r="M121" t="s">
        <v>59</v>
      </c>
      <c r="N121">
        <v>12</v>
      </c>
      <c r="O121">
        <f t="shared" si="4"/>
        <v>57.89</v>
      </c>
      <c r="P121">
        <f t="shared" si="5"/>
        <v>95000</v>
      </c>
      <c r="Q121" t="str">
        <f>VLOOKUP(C121,Customers!$A:$D,3,0)</f>
        <v>South</v>
      </c>
      <c r="R121" t="str">
        <f t="shared" si="6"/>
        <v>May</v>
      </c>
      <c r="S121">
        <f t="shared" si="7"/>
        <v>5</v>
      </c>
      <c r="T121" t="str">
        <f>VLOOKUP(C121,Customers!$A:$B,2,0)</f>
        <v>Ola Cabs</v>
      </c>
    </row>
    <row r="122" spans="1:20">
      <c r="A122" t="s">
        <v>209</v>
      </c>
      <c r="B122" s="1">
        <v>45338</v>
      </c>
      <c r="C122" t="s">
        <v>22</v>
      </c>
      <c r="D122" t="s">
        <v>50</v>
      </c>
      <c r="E122" t="s">
        <v>17</v>
      </c>
      <c r="F122">
        <v>5</v>
      </c>
      <c r="G122">
        <v>250000</v>
      </c>
      <c r="H122">
        <v>100000</v>
      </c>
      <c r="I122">
        <v>150000</v>
      </c>
      <c r="J122">
        <v>0</v>
      </c>
      <c r="K122" t="s">
        <v>30</v>
      </c>
      <c r="L122" t="s">
        <v>70</v>
      </c>
      <c r="M122" t="s">
        <v>37</v>
      </c>
      <c r="N122">
        <v>24</v>
      </c>
      <c r="O122">
        <f t="shared" si="4"/>
        <v>60</v>
      </c>
      <c r="P122">
        <f t="shared" si="5"/>
        <v>50000</v>
      </c>
      <c r="Q122" t="str">
        <f>VLOOKUP(C122,Customers!$A:$D,3,0)</f>
        <v>South</v>
      </c>
      <c r="R122" t="str">
        <f t="shared" si="6"/>
        <v>February</v>
      </c>
      <c r="S122">
        <f t="shared" si="7"/>
        <v>2</v>
      </c>
      <c r="T122" t="str">
        <f>VLOOKUP(C122,Customers!$A:$B,2,0)</f>
        <v>Infosys Ltd</v>
      </c>
    </row>
    <row r="123" spans="1:20">
      <c r="A123" t="s">
        <v>210</v>
      </c>
      <c r="B123" s="1">
        <v>45618</v>
      </c>
      <c r="C123" t="s">
        <v>151</v>
      </c>
      <c r="D123" t="s">
        <v>16</v>
      </c>
      <c r="E123" t="s">
        <v>17</v>
      </c>
      <c r="F123">
        <v>4</v>
      </c>
      <c r="G123">
        <v>280000</v>
      </c>
      <c r="H123">
        <v>120000</v>
      </c>
      <c r="I123">
        <v>160000</v>
      </c>
      <c r="J123">
        <v>0</v>
      </c>
      <c r="K123" t="s">
        <v>25</v>
      </c>
      <c r="L123" t="s">
        <v>63</v>
      </c>
      <c r="M123" t="s">
        <v>37</v>
      </c>
      <c r="N123">
        <v>6</v>
      </c>
      <c r="O123">
        <f t="shared" si="4"/>
        <v>57.14</v>
      </c>
      <c r="P123">
        <f t="shared" si="5"/>
        <v>70000</v>
      </c>
      <c r="Q123" t="str">
        <f>VLOOKUP(C123,Customers!$A:$D,3,0)</f>
        <v>North</v>
      </c>
      <c r="R123" t="str">
        <f t="shared" si="6"/>
        <v>November</v>
      </c>
      <c r="S123">
        <f t="shared" si="7"/>
        <v>11</v>
      </c>
      <c r="T123" t="str">
        <f>VLOOKUP(C123,Customers!$A:$B,2,0)</f>
        <v>HCL Systems</v>
      </c>
    </row>
    <row r="124" spans="1:20">
      <c r="A124" t="s">
        <v>211</v>
      </c>
      <c r="B124" s="1">
        <v>45621</v>
      </c>
      <c r="C124" t="s">
        <v>136</v>
      </c>
      <c r="D124" t="s">
        <v>119</v>
      </c>
      <c r="E124" t="s">
        <v>36</v>
      </c>
      <c r="F124">
        <v>4</v>
      </c>
      <c r="G124">
        <v>400000</v>
      </c>
      <c r="H124">
        <v>180000</v>
      </c>
      <c r="I124">
        <v>220000</v>
      </c>
      <c r="J124">
        <v>0</v>
      </c>
      <c r="K124" t="s">
        <v>30</v>
      </c>
      <c r="L124" t="s">
        <v>31</v>
      </c>
      <c r="M124" t="s">
        <v>27</v>
      </c>
      <c r="N124">
        <v>12</v>
      </c>
      <c r="O124">
        <f t="shared" si="4"/>
        <v>55</v>
      </c>
      <c r="P124">
        <f t="shared" si="5"/>
        <v>100000</v>
      </c>
      <c r="Q124" t="str">
        <f>VLOOKUP(C124,Customers!$A:$D,3,0)</f>
        <v>North</v>
      </c>
      <c r="R124" t="str">
        <f t="shared" si="6"/>
        <v>November</v>
      </c>
      <c r="S124">
        <f t="shared" si="7"/>
        <v>11</v>
      </c>
      <c r="T124" t="str">
        <f>VLOOKUP(C124,Customers!$A:$B,2,0)</f>
        <v>BharatPe</v>
      </c>
    </row>
    <row r="125" spans="1:20">
      <c r="A125" t="s">
        <v>212</v>
      </c>
      <c r="B125" s="1">
        <v>45592</v>
      </c>
      <c r="C125" t="s">
        <v>94</v>
      </c>
      <c r="D125" t="s">
        <v>53</v>
      </c>
      <c r="E125" t="s">
        <v>54</v>
      </c>
      <c r="F125">
        <v>2</v>
      </c>
      <c r="G125">
        <v>380000</v>
      </c>
      <c r="H125">
        <v>170000</v>
      </c>
      <c r="I125">
        <v>210000</v>
      </c>
      <c r="J125">
        <v>5</v>
      </c>
      <c r="K125" t="s">
        <v>30</v>
      </c>
      <c r="L125" t="s">
        <v>70</v>
      </c>
      <c r="M125" t="s">
        <v>20</v>
      </c>
      <c r="N125">
        <v>24</v>
      </c>
      <c r="O125">
        <f t="shared" si="4"/>
        <v>55.26</v>
      </c>
      <c r="P125">
        <f t="shared" si="5"/>
        <v>190000</v>
      </c>
      <c r="Q125" t="str">
        <f>VLOOKUP(C125,Customers!$A:$D,3,0)</f>
        <v>South</v>
      </c>
      <c r="R125" t="str">
        <f t="shared" si="6"/>
        <v>October</v>
      </c>
      <c r="S125">
        <f t="shared" si="7"/>
        <v>10</v>
      </c>
      <c r="T125" t="str">
        <f>VLOOKUP(C125,Customers!$A:$B,2,0)</f>
        <v>PhonePe Pay</v>
      </c>
    </row>
    <row r="126" spans="1:20">
      <c r="A126" t="s">
        <v>213</v>
      </c>
      <c r="B126" s="1">
        <v>45592</v>
      </c>
      <c r="C126" t="s">
        <v>88</v>
      </c>
      <c r="D126" t="s">
        <v>89</v>
      </c>
      <c r="E126" t="s">
        <v>45</v>
      </c>
      <c r="F126">
        <v>1</v>
      </c>
      <c r="G126">
        <v>128000</v>
      </c>
      <c r="H126">
        <v>70000</v>
      </c>
      <c r="I126">
        <v>58000</v>
      </c>
      <c r="J126">
        <v>20</v>
      </c>
      <c r="K126" t="s">
        <v>30</v>
      </c>
      <c r="L126" t="s">
        <v>26</v>
      </c>
      <c r="M126" t="s">
        <v>59</v>
      </c>
      <c r="N126">
        <v>12</v>
      </c>
      <c r="O126">
        <f t="shared" si="4"/>
        <v>45.31</v>
      </c>
      <c r="P126">
        <f t="shared" si="5"/>
        <v>128000</v>
      </c>
      <c r="Q126" t="str">
        <f>VLOOKUP(C126,Customers!$A:$D,3,0)</f>
        <v>West</v>
      </c>
      <c r="R126" t="str">
        <f t="shared" si="6"/>
        <v>October</v>
      </c>
      <c r="S126">
        <f t="shared" si="7"/>
        <v>10</v>
      </c>
      <c r="T126" t="str">
        <f>VLOOKUP(C126,Customers!$A:$B,2,0)</f>
        <v>Reliance Digital</v>
      </c>
    </row>
    <row r="127" spans="1:20">
      <c r="A127" t="s">
        <v>214</v>
      </c>
      <c r="B127" s="1">
        <v>45308</v>
      </c>
      <c r="C127" t="s">
        <v>73</v>
      </c>
      <c r="D127" t="s">
        <v>40</v>
      </c>
      <c r="E127" t="s">
        <v>41</v>
      </c>
      <c r="F127">
        <v>4</v>
      </c>
      <c r="G127">
        <v>140000</v>
      </c>
      <c r="H127">
        <v>60000</v>
      </c>
      <c r="I127">
        <v>80000</v>
      </c>
      <c r="J127">
        <v>0</v>
      </c>
      <c r="K127" t="s">
        <v>30</v>
      </c>
      <c r="L127" t="s">
        <v>19</v>
      </c>
      <c r="M127" t="s">
        <v>37</v>
      </c>
      <c r="N127">
        <v>12</v>
      </c>
      <c r="O127">
        <f t="shared" si="4"/>
        <v>57.14</v>
      </c>
      <c r="P127">
        <f t="shared" si="5"/>
        <v>35000</v>
      </c>
      <c r="Q127" t="str">
        <f>VLOOKUP(C127,Customers!$A:$D,3,0)</f>
        <v>West</v>
      </c>
      <c r="R127" t="str">
        <f t="shared" si="6"/>
        <v>January</v>
      </c>
      <c r="S127">
        <f t="shared" si="7"/>
        <v>1</v>
      </c>
      <c r="T127" t="str">
        <f>VLOOKUP(C127,Customers!$A:$B,2,0)</f>
        <v>ICICI Tech</v>
      </c>
    </row>
    <row r="128" spans="1:20">
      <c r="A128" t="s">
        <v>215</v>
      </c>
      <c r="B128" s="1">
        <v>45323</v>
      </c>
      <c r="C128" t="s">
        <v>73</v>
      </c>
      <c r="D128" t="s">
        <v>69</v>
      </c>
      <c r="E128" t="s">
        <v>62</v>
      </c>
      <c r="F128">
        <v>4</v>
      </c>
      <c r="G128">
        <v>380000</v>
      </c>
      <c r="H128">
        <v>160000</v>
      </c>
      <c r="I128">
        <v>220000</v>
      </c>
      <c r="J128">
        <v>0</v>
      </c>
      <c r="K128" t="s">
        <v>18</v>
      </c>
      <c r="L128" t="s">
        <v>58</v>
      </c>
      <c r="M128" t="s">
        <v>20</v>
      </c>
      <c r="N128">
        <v>3</v>
      </c>
      <c r="O128">
        <f t="shared" si="4"/>
        <v>57.89</v>
      </c>
      <c r="P128">
        <f t="shared" si="5"/>
        <v>95000</v>
      </c>
      <c r="Q128" t="str">
        <f>VLOOKUP(C128,Customers!$A:$D,3,0)</f>
        <v>West</v>
      </c>
      <c r="R128" t="str">
        <f t="shared" si="6"/>
        <v>February</v>
      </c>
      <c r="S128">
        <f t="shared" si="7"/>
        <v>2</v>
      </c>
      <c r="T128" t="str">
        <f>VLOOKUP(C128,Customers!$A:$B,2,0)</f>
        <v>ICICI Tech</v>
      </c>
    </row>
    <row r="129" spans="1:20">
      <c r="A129" t="s">
        <v>216</v>
      </c>
      <c r="B129" s="1">
        <v>45317</v>
      </c>
      <c r="C129" t="s">
        <v>65</v>
      </c>
      <c r="D129" t="s">
        <v>61</v>
      </c>
      <c r="E129" t="s">
        <v>62</v>
      </c>
      <c r="F129">
        <v>5</v>
      </c>
      <c r="G129">
        <v>1100000</v>
      </c>
      <c r="H129">
        <v>450000</v>
      </c>
      <c r="I129">
        <v>650000</v>
      </c>
      <c r="J129">
        <v>0</v>
      </c>
      <c r="K129" t="s">
        <v>30</v>
      </c>
      <c r="L129" t="s">
        <v>63</v>
      </c>
      <c r="M129" t="s">
        <v>32</v>
      </c>
      <c r="N129">
        <v>6</v>
      </c>
      <c r="O129">
        <f t="shared" si="4"/>
        <v>59.09</v>
      </c>
      <c r="P129">
        <f t="shared" si="5"/>
        <v>220000</v>
      </c>
      <c r="Q129" t="str">
        <f>VLOOKUP(C129,Customers!$A:$D,3,0)</f>
        <v>North</v>
      </c>
      <c r="R129" t="str">
        <f t="shared" si="6"/>
        <v>January</v>
      </c>
      <c r="S129">
        <f t="shared" si="7"/>
        <v>1</v>
      </c>
      <c r="T129" t="str">
        <f>VLOOKUP(C129,Customers!$A:$B,2,0)</f>
        <v>Zomato Pvt Ltd</v>
      </c>
    </row>
    <row r="130" spans="1:20">
      <c r="A130" t="s">
        <v>217</v>
      </c>
      <c r="B130" s="1">
        <v>45411</v>
      </c>
      <c r="C130" t="s">
        <v>88</v>
      </c>
      <c r="D130" t="s">
        <v>67</v>
      </c>
      <c r="E130" t="s">
        <v>54</v>
      </c>
      <c r="F130">
        <v>1</v>
      </c>
      <c r="G130">
        <v>83600</v>
      </c>
      <c r="H130">
        <v>38000</v>
      </c>
      <c r="I130">
        <v>45600</v>
      </c>
      <c r="J130">
        <v>5</v>
      </c>
      <c r="K130" t="s">
        <v>30</v>
      </c>
      <c r="L130" t="s">
        <v>51</v>
      </c>
      <c r="M130" t="s">
        <v>20</v>
      </c>
      <c r="N130">
        <v>12</v>
      </c>
      <c r="O130">
        <f t="shared" si="4"/>
        <v>54.55</v>
      </c>
      <c r="P130">
        <f t="shared" si="5"/>
        <v>83600</v>
      </c>
      <c r="Q130" t="str">
        <f>VLOOKUP(C130,Customers!$A:$D,3,0)</f>
        <v>West</v>
      </c>
      <c r="R130" t="str">
        <f t="shared" si="6"/>
        <v>April</v>
      </c>
      <c r="S130">
        <f t="shared" si="7"/>
        <v>4</v>
      </c>
      <c r="T130" t="str">
        <f>VLOOKUP(C130,Customers!$A:$B,2,0)</f>
        <v>Reliance Digital</v>
      </c>
    </row>
    <row r="131" spans="1:20">
      <c r="A131" t="s">
        <v>218</v>
      </c>
      <c r="B131" s="1">
        <v>45565</v>
      </c>
      <c r="C131" t="s">
        <v>88</v>
      </c>
      <c r="D131" t="s">
        <v>92</v>
      </c>
      <c r="E131" t="s">
        <v>24</v>
      </c>
      <c r="F131">
        <v>3</v>
      </c>
      <c r="G131">
        <v>432000</v>
      </c>
      <c r="H131">
        <v>240000</v>
      </c>
      <c r="I131">
        <v>192000</v>
      </c>
      <c r="J131">
        <v>20</v>
      </c>
      <c r="K131" t="s">
        <v>30</v>
      </c>
      <c r="L131" t="s">
        <v>26</v>
      </c>
      <c r="M131" t="s">
        <v>37</v>
      </c>
      <c r="N131">
        <v>3</v>
      </c>
      <c r="O131">
        <f t="shared" ref="O131:O194" si="8">ROUND((I131/G131)*100,2)</f>
        <v>44.44</v>
      </c>
      <c r="P131">
        <f t="shared" ref="P131:P194" si="9">ROUND(G131/F131,2)</f>
        <v>144000</v>
      </c>
      <c r="Q131" t="str">
        <f>VLOOKUP(C131,Customers!$A:$D,3,0)</f>
        <v>West</v>
      </c>
      <c r="R131" t="str">
        <f t="shared" ref="R131:R194" si="10">TEXT(B131,"MMMM")</f>
        <v>September</v>
      </c>
      <c r="S131">
        <f t="shared" ref="S131:S194" si="11">MONTH(B131)</f>
        <v>9</v>
      </c>
      <c r="T131" t="str">
        <f>VLOOKUP(C131,Customers!$A:$B,2,0)</f>
        <v>Reliance Digital</v>
      </c>
    </row>
    <row r="132" spans="1:20">
      <c r="A132" t="s">
        <v>219</v>
      </c>
      <c r="B132" s="1">
        <v>45578</v>
      </c>
      <c r="C132" t="s">
        <v>39</v>
      </c>
      <c r="D132" t="s">
        <v>89</v>
      </c>
      <c r="E132" t="s">
        <v>45</v>
      </c>
      <c r="F132">
        <v>5</v>
      </c>
      <c r="G132">
        <v>800000</v>
      </c>
      <c r="H132">
        <v>350000</v>
      </c>
      <c r="I132">
        <v>450000</v>
      </c>
      <c r="J132">
        <v>0</v>
      </c>
      <c r="K132" t="s">
        <v>18</v>
      </c>
      <c r="L132" t="s">
        <v>19</v>
      </c>
      <c r="M132" t="s">
        <v>59</v>
      </c>
      <c r="N132">
        <v>24</v>
      </c>
      <c r="O132">
        <f t="shared" si="8"/>
        <v>56.25</v>
      </c>
      <c r="P132">
        <f t="shared" si="9"/>
        <v>160000</v>
      </c>
      <c r="Q132" t="str">
        <f>VLOOKUP(C132,Customers!$A:$D,3,0)</f>
        <v>North</v>
      </c>
      <c r="R132" t="str">
        <f t="shared" si="10"/>
        <v>October</v>
      </c>
      <c r="S132">
        <f t="shared" si="11"/>
        <v>10</v>
      </c>
      <c r="T132" t="str">
        <f>VLOOKUP(C132,Customers!$A:$B,2,0)</f>
        <v>Amazon India</v>
      </c>
    </row>
    <row r="133" spans="1:20">
      <c r="A133" t="s">
        <v>220</v>
      </c>
      <c r="B133" s="1">
        <v>45477</v>
      </c>
      <c r="C133" t="s">
        <v>151</v>
      </c>
      <c r="D133" t="s">
        <v>40</v>
      </c>
      <c r="E133" t="s">
        <v>41</v>
      </c>
      <c r="F133">
        <v>5</v>
      </c>
      <c r="G133">
        <v>175000</v>
      </c>
      <c r="H133">
        <v>75000</v>
      </c>
      <c r="I133">
        <v>100000</v>
      </c>
      <c r="J133">
        <v>0</v>
      </c>
      <c r="K133" t="s">
        <v>25</v>
      </c>
      <c r="L133" t="s">
        <v>31</v>
      </c>
      <c r="M133" t="s">
        <v>20</v>
      </c>
      <c r="N133">
        <v>12</v>
      </c>
      <c r="O133">
        <f t="shared" si="8"/>
        <v>57.14</v>
      </c>
      <c r="P133">
        <f t="shared" si="9"/>
        <v>35000</v>
      </c>
      <c r="Q133" t="str">
        <f>VLOOKUP(C133,Customers!$A:$D,3,0)</f>
        <v>North</v>
      </c>
      <c r="R133" t="str">
        <f t="shared" si="10"/>
        <v>July</v>
      </c>
      <c r="S133">
        <f t="shared" si="11"/>
        <v>7</v>
      </c>
      <c r="T133" t="str">
        <f>VLOOKUP(C133,Customers!$A:$B,2,0)</f>
        <v>HCL Systems</v>
      </c>
    </row>
    <row r="134" spans="1:20">
      <c r="A134" t="s">
        <v>221</v>
      </c>
      <c r="B134" s="1">
        <v>45526</v>
      </c>
      <c r="C134" t="s">
        <v>22</v>
      </c>
      <c r="D134" t="s">
        <v>86</v>
      </c>
      <c r="E134" t="s">
        <v>24</v>
      </c>
      <c r="F134">
        <v>4</v>
      </c>
      <c r="G134">
        <v>448000</v>
      </c>
      <c r="H134">
        <v>240000</v>
      </c>
      <c r="I134">
        <v>208000</v>
      </c>
      <c r="J134">
        <v>20</v>
      </c>
      <c r="K134" t="s">
        <v>30</v>
      </c>
      <c r="L134" t="s">
        <v>95</v>
      </c>
      <c r="M134" t="s">
        <v>27</v>
      </c>
      <c r="N134">
        <v>24</v>
      </c>
      <c r="O134">
        <f t="shared" si="8"/>
        <v>46.43</v>
      </c>
      <c r="P134">
        <f t="shared" si="9"/>
        <v>112000</v>
      </c>
      <c r="Q134" t="str">
        <f>VLOOKUP(C134,Customers!$A:$D,3,0)</f>
        <v>South</v>
      </c>
      <c r="R134" t="str">
        <f t="shared" si="10"/>
        <v>August</v>
      </c>
      <c r="S134">
        <f t="shared" si="11"/>
        <v>8</v>
      </c>
      <c r="T134" t="str">
        <f>VLOOKUP(C134,Customers!$A:$B,2,0)</f>
        <v>Infosys Ltd</v>
      </c>
    </row>
    <row r="135" spans="1:20">
      <c r="A135" t="s">
        <v>222</v>
      </c>
      <c r="B135" s="1">
        <v>45656</v>
      </c>
      <c r="C135" t="s">
        <v>56</v>
      </c>
      <c r="D135" t="s">
        <v>23</v>
      </c>
      <c r="E135" t="s">
        <v>24</v>
      </c>
      <c r="F135">
        <v>3</v>
      </c>
      <c r="G135">
        <v>324000</v>
      </c>
      <c r="H135">
        <v>150000</v>
      </c>
      <c r="I135">
        <v>174000</v>
      </c>
      <c r="J135">
        <v>10</v>
      </c>
      <c r="K135" t="s">
        <v>30</v>
      </c>
      <c r="L135" t="s">
        <v>19</v>
      </c>
      <c r="M135" t="s">
        <v>32</v>
      </c>
      <c r="N135">
        <v>12</v>
      </c>
      <c r="O135">
        <f t="shared" si="8"/>
        <v>53.7</v>
      </c>
      <c r="P135">
        <f t="shared" si="9"/>
        <v>108000</v>
      </c>
      <c r="Q135" t="str">
        <f>VLOOKUP(C135,Customers!$A:$D,3,0)</f>
        <v>South</v>
      </c>
      <c r="R135" t="str">
        <f t="shared" si="10"/>
        <v>December</v>
      </c>
      <c r="S135">
        <f t="shared" si="11"/>
        <v>12</v>
      </c>
      <c r="T135" t="str">
        <f>VLOOKUP(C135,Customers!$A:$B,2,0)</f>
        <v>Wipro Technologies</v>
      </c>
    </row>
    <row r="136" spans="1:20">
      <c r="A136" t="s">
        <v>223</v>
      </c>
      <c r="B136" s="1">
        <v>45611</v>
      </c>
      <c r="C136" t="s">
        <v>91</v>
      </c>
      <c r="D136" t="s">
        <v>35</v>
      </c>
      <c r="E136" t="s">
        <v>36</v>
      </c>
      <c r="F136">
        <v>4</v>
      </c>
      <c r="G136">
        <v>234000</v>
      </c>
      <c r="H136">
        <v>112000</v>
      </c>
      <c r="I136">
        <v>122000</v>
      </c>
      <c r="J136">
        <v>10</v>
      </c>
      <c r="K136" t="s">
        <v>25</v>
      </c>
      <c r="L136" t="s">
        <v>97</v>
      </c>
      <c r="M136" t="s">
        <v>59</v>
      </c>
      <c r="N136">
        <v>24</v>
      </c>
      <c r="O136">
        <f t="shared" si="8"/>
        <v>52.14</v>
      </c>
      <c r="P136">
        <f t="shared" si="9"/>
        <v>58500</v>
      </c>
      <c r="Q136" t="str">
        <f>VLOOKUP(C136,Customers!$A:$D,3,0)</f>
        <v>South</v>
      </c>
      <c r="R136" t="str">
        <f t="shared" si="10"/>
        <v>November</v>
      </c>
      <c r="S136">
        <f t="shared" si="11"/>
        <v>11</v>
      </c>
      <c r="T136" t="str">
        <f>VLOOKUP(C136,Customers!$A:$B,2,0)</f>
        <v>CRED Fintech</v>
      </c>
    </row>
    <row r="137" spans="1:20">
      <c r="A137" t="s">
        <v>224</v>
      </c>
      <c r="B137" s="1">
        <v>45342</v>
      </c>
      <c r="C137" t="s">
        <v>151</v>
      </c>
      <c r="D137" t="s">
        <v>53</v>
      </c>
      <c r="E137" t="s">
        <v>54</v>
      </c>
      <c r="F137">
        <v>2</v>
      </c>
      <c r="G137">
        <v>380000</v>
      </c>
      <c r="H137">
        <v>170000</v>
      </c>
      <c r="I137">
        <v>210000</v>
      </c>
      <c r="J137">
        <v>5</v>
      </c>
      <c r="K137" t="s">
        <v>30</v>
      </c>
      <c r="L137" t="s">
        <v>58</v>
      </c>
      <c r="M137" t="s">
        <v>59</v>
      </c>
      <c r="N137">
        <v>12</v>
      </c>
      <c r="O137">
        <f t="shared" si="8"/>
        <v>55.26</v>
      </c>
      <c r="P137">
        <f t="shared" si="9"/>
        <v>190000</v>
      </c>
      <c r="Q137" t="str">
        <f>VLOOKUP(C137,Customers!$A:$D,3,0)</f>
        <v>North</v>
      </c>
      <c r="R137" t="str">
        <f t="shared" si="10"/>
        <v>February</v>
      </c>
      <c r="S137">
        <f t="shared" si="11"/>
        <v>2</v>
      </c>
      <c r="T137" t="str">
        <f>VLOOKUP(C137,Customers!$A:$B,2,0)</f>
        <v>HCL Systems</v>
      </c>
    </row>
    <row r="138" spans="1:20">
      <c r="A138" t="s">
        <v>225</v>
      </c>
      <c r="B138" s="1">
        <v>45524</v>
      </c>
      <c r="C138" t="s">
        <v>39</v>
      </c>
      <c r="D138" t="s">
        <v>69</v>
      </c>
      <c r="E138" t="s">
        <v>62</v>
      </c>
      <c r="F138">
        <v>3</v>
      </c>
      <c r="G138">
        <v>270750</v>
      </c>
      <c r="H138">
        <v>120000</v>
      </c>
      <c r="I138">
        <v>150750</v>
      </c>
      <c r="J138">
        <v>5</v>
      </c>
      <c r="K138" t="s">
        <v>30</v>
      </c>
      <c r="L138" t="s">
        <v>97</v>
      </c>
      <c r="M138" t="s">
        <v>37</v>
      </c>
      <c r="N138">
        <v>6</v>
      </c>
      <c r="O138">
        <f t="shared" si="8"/>
        <v>55.68</v>
      </c>
      <c r="P138">
        <f t="shared" si="9"/>
        <v>90250</v>
      </c>
      <c r="Q138" t="str">
        <f>VLOOKUP(C138,Customers!$A:$D,3,0)</f>
        <v>North</v>
      </c>
      <c r="R138" t="str">
        <f t="shared" si="10"/>
        <v>August</v>
      </c>
      <c r="S138">
        <f t="shared" si="11"/>
        <v>8</v>
      </c>
      <c r="T138" t="str">
        <f>VLOOKUP(C138,Customers!$A:$B,2,0)</f>
        <v>Amazon India</v>
      </c>
    </row>
    <row r="139" spans="1:20">
      <c r="A139" t="s">
        <v>226</v>
      </c>
      <c r="B139" s="1">
        <v>45643</v>
      </c>
      <c r="C139" t="s">
        <v>56</v>
      </c>
      <c r="D139" t="s">
        <v>23</v>
      </c>
      <c r="E139" t="s">
        <v>24</v>
      </c>
      <c r="F139">
        <v>1</v>
      </c>
      <c r="G139">
        <v>120000</v>
      </c>
      <c r="H139">
        <v>50000</v>
      </c>
      <c r="I139">
        <v>70000</v>
      </c>
      <c r="J139">
        <v>0</v>
      </c>
      <c r="K139" t="s">
        <v>30</v>
      </c>
      <c r="L139" t="s">
        <v>19</v>
      </c>
      <c r="M139" t="s">
        <v>37</v>
      </c>
      <c r="N139">
        <v>6</v>
      </c>
      <c r="O139">
        <f t="shared" si="8"/>
        <v>58.33</v>
      </c>
      <c r="P139">
        <f t="shared" si="9"/>
        <v>120000</v>
      </c>
      <c r="Q139" t="str">
        <f>VLOOKUP(C139,Customers!$A:$D,3,0)</f>
        <v>South</v>
      </c>
      <c r="R139" t="str">
        <f t="shared" si="10"/>
        <v>December</v>
      </c>
      <c r="S139">
        <f t="shared" si="11"/>
        <v>12</v>
      </c>
      <c r="T139" t="str">
        <f>VLOOKUP(C139,Customers!$A:$B,2,0)</f>
        <v>Wipro Technologies</v>
      </c>
    </row>
    <row r="140" spans="1:20">
      <c r="A140" t="s">
        <v>227</v>
      </c>
      <c r="B140" s="1">
        <v>45633</v>
      </c>
      <c r="C140" t="s">
        <v>91</v>
      </c>
      <c r="D140" t="s">
        <v>35</v>
      </c>
      <c r="E140" t="s">
        <v>36</v>
      </c>
      <c r="F140">
        <v>1</v>
      </c>
      <c r="G140">
        <v>61750</v>
      </c>
      <c r="H140">
        <v>28000</v>
      </c>
      <c r="I140">
        <v>33750</v>
      </c>
      <c r="J140">
        <v>5</v>
      </c>
      <c r="K140" t="s">
        <v>30</v>
      </c>
      <c r="L140" t="s">
        <v>95</v>
      </c>
      <c r="M140" t="s">
        <v>27</v>
      </c>
      <c r="N140">
        <v>12</v>
      </c>
      <c r="O140">
        <f t="shared" si="8"/>
        <v>54.66</v>
      </c>
      <c r="P140">
        <f t="shared" si="9"/>
        <v>61750</v>
      </c>
      <c r="Q140" t="str">
        <f>VLOOKUP(C140,Customers!$A:$D,3,0)</f>
        <v>South</v>
      </c>
      <c r="R140" t="str">
        <f t="shared" si="10"/>
        <v>December</v>
      </c>
      <c r="S140">
        <f t="shared" si="11"/>
        <v>12</v>
      </c>
      <c r="T140" t="str">
        <f>VLOOKUP(C140,Customers!$A:$B,2,0)</f>
        <v>CRED Fintech</v>
      </c>
    </row>
    <row r="141" spans="1:20">
      <c r="A141" t="s">
        <v>228</v>
      </c>
      <c r="B141" s="1">
        <v>45599</v>
      </c>
      <c r="C141" t="s">
        <v>151</v>
      </c>
      <c r="D141" t="s">
        <v>82</v>
      </c>
      <c r="E141" t="s">
        <v>54</v>
      </c>
      <c r="F141">
        <v>5</v>
      </c>
      <c r="G141">
        <v>725000</v>
      </c>
      <c r="H141">
        <v>300000</v>
      </c>
      <c r="I141">
        <v>425000</v>
      </c>
      <c r="J141">
        <v>0</v>
      </c>
      <c r="K141" t="s">
        <v>30</v>
      </c>
      <c r="L141" t="s">
        <v>47</v>
      </c>
      <c r="M141" t="s">
        <v>32</v>
      </c>
      <c r="N141">
        <v>3</v>
      </c>
      <c r="O141">
        <f t="shared" si="8"/>
        <v>58.62</v>
      </c>
      <c r="P141">
        <f t="shared" si="9"/>
        <v>145000</v>
      </c>
      <c r="Q141" t="str">
        <f>VLOOKUP(C141,Customers!$A:$D,3,0)</f>
        <v>North</v>
      </c>
      <c r="R141" t="str">
        <f t="shared" si="10"/>
        <v>November</v>
      </c>
      <c r="S141">
        <f t="shared" si="11"/>
        <v>11</v>
      </c>
      <c r="T141" t="str">
        <f>VLOOKUP(C141,Customers!$A:$B,2,0)</f>
        <v>HCL Systems</v>
      </c>
    </row>
    <row r="142" spans="1:20">
      <c r="A142" t="s">
        <v>229</v>
      </c>
      <c r="B142" s="1">
        <v>45471</v>
      </c>
      <c r="C142" t="s">
        <v>115</v>
      </c>
      <c r="D142" t="s">
        <v>69</v>
      </c>
      <c r="E142" t="s">
        <v>62</v>
      </c>
      <c r="F142">
        <v>3</v>
      </c>
      <c r="G142">
        <v>256500</v>
      </c>
      <c r="H142">
        <v>120000</v>
      </c>
      <c r="I142">
        <v>136500</v>
      </c>
      <c r="J142">
        <v>10</v>
      </c>
      <c r="K142" t="s">
        <v>30</v>
      </c>
      <c r="L142" t="s">
        <v>95</v>
      </c>
      <c r="M142" t="s">
        <v>20</v>
      </c>
      <c r="N142">
        <v>3</v>
      </c>
      <c r="O142">
        <f t="shared" si="8"/>
        <v>53.22</v>
      </c>
      <c r="P142">
        <f t="shared" si="9"/>
        <v>85500</v>
      </c>
      <c r="Q142" t="str">
        <f>VLOOKUP(C142,Customers!$A:$D,3,0)</f>
        <v>North</v>
      </c>
      <c r="R142" t="str">
        <f t="shared" si="10"/>
        <v>June</v>
      </c>
      <c r="S142">
        <f t="shared" si="11"/>
        <v>6</v>
      </c>
      <c r="T142" t="str">
        <f>VLOOKUP(C142,Customers!$A:$B,2,0)</f>
        <v>Paytm Services</v>
      </c>
    </row>
    <row r="143" spans="1:20">
      <c r="A143" t="s">
        <v>230</v>
      </c>
      <c r="B143" s="1">
        <v>45603</v>
      </c>
      <c r="C143" t="s">
        <v>139</v>
      </c>
      <c r="D143" t="s">
        <v>50</v>
      </c>
      <c r="E143" t="s">
        <v>17</v>
      </c>
      <c r="F143">
        <v>1</v>
      </c>
      <c r="G143">
        <v>50000</v>
      </c>
      <c r="H143">
        <v>20000</v>
      </c>
      <c r="I143">
        <v>30000</v>
      </c>
      <c r="J143">
        <v>0</v>
      </c>
      <c r="K143" t="s">
        <v>30</v>
      </c>
      <c r="L143" t="s">
        <v>97</v>
      </c>
      <c r="M143" t="s">
        <v>37</v>
      </c>
      <c r="N143">
        <v>12</v>
      </c>
      <c r="O143">
        <f t="shared" si="8"/>
        <v>60</v>
      </c>
      <c r="P143">
        <f t="shared" si="9"/>
        <v>50000</v>
      </c>
      <c r="Q143" t="str">
        <f>VLOOKUP(C143,Customers!$A:$D,3,0)</f>
        <v>North</v>
      </c>
      <c r="R143" t="str">
        <f t="shared" si="10"/>
        <v>November</v>
      </c>
      <c r="S143">
        <f t="shared" si="11"/>
        <v>11</v>
      </c>
      <c r="T143" t="str">
        <f>VLOOKUP(C143,Customers!$A:$B,2,0)</f>
        <v>PolicyBazaar</v>
      </c>
    </row>
    <row r="144" spans="1:20">
      <c r="A144" t="s">
        <v>231</v>
      </c>
      <c r="B144" s="1">
        <v>45580</v>
      </c>
      <c r="C144" t="s">
        <v>106</v>
      </c>
      <c r="D144" t="s">
        <v>154</v>
      </c>
      <c r="E144" t="s">
        <v>45</v>
      </c>
      <c r="F144">
        <v>1</v>
      </c>
      <c r="G144">
        <v>130000</v>
      </c>
      <c r="H144">
        <v>55000</v>
      </c>
      <c r="I144">
        <v>75000</v>
      </c>
      <c r="J144">
        <v>0</v>
      </c>
      <c r="K144" t="s">
        <v>18</v>
      </c>
      <c r="L144" t="s">
        <v>31</v>
      </c>
      <c r="M144" t="s">
        <v>27</v>
      </c>
      <c r="N144">
        <v>6</v>
      </c>
      <c r="O144">
        <f t="shared" si="8"/>
        <v>57.69</v>
      </c>
      <c r="P144">
        <f t="shared" si="9"/>
        <v>130000</v>
      </c>
      <c r="Q144" t="str">
        <f>VLOOKUP(C144,Customers!$A:$D,3,0)</f>
        <v>North</v>
      </c>
      <c r="R144" t="str">
        <f t="shared" si="10"/>
        <v>October</v>
      </c>
      <c r="S144">
        <f t="shared" si="11"/>
        <v>10</v>
      </c>
      <c r="T144" t="str">
        <f>VLOOKUP(C144,Customers!$A:$B,2,0)</f>
        <v>Urban Company</v>
      </c>
    </row>
    <row r="145" spans="1:20">
      <c r="A145" t="s">
        <v>232</v>
      </c>
      <c r="B145" s="1">
        <v>45484</v>
      </c>
      <c r="C145" t="s">
        <v>104</v>
      </c>
      <c r="D145" t="s">
        <v>101</v>
      </c>
      <c r="E145" t="s">
        <v>62</v>
      </c>
      <c r="F145">
        <v>3</v>
      </c>
      <c r="G145">
        <v>228000</v>
      </c>
      <c r="H145">
        <v>105000</v>
      </c>
      <c r="I145">
        <v>123000</v>
      </c>
      <c r="J145">
        <v>5</v>
      </c>
      <c r="K145" t="s">
        <v>18</v>
      </c>
      <c r="L145" t="s">
        <v>70</v>
      </c>
      <c r="M145" t="s">
        <v>20</v>
      </c>
      <c r="N145">
        <v>3</v>
      </c>
      <c r="O145">
        <f t="shared" si="8"/>
        <v>53.95</v>
      </c>
      <c r="P145">
        <f t="shared" si="9"/>
        <v>76000</v>
      </c>
      <c r="Q145" t="str">
        <f>VLOOKUP(C145,Customers!$A:$D,3,0)</f>
        <v>South</v>
      </c>
      <c r="R145" t="str">
        <f t="shared" si="10"/>
        <v>July</v>
      </c>
      <c r="S145">
        <f t="shared" si="11"/>
        <v>7</v>
      </c>
      <c r="T145" t="str">
        <f>VLOOKUP(C145,Customers!$A:$B,2,0)</f>
        <v>Ola Cabs</v>
      </c>
    </row>
    <row r="146" spans="1:20">
      <c r="A146" t="s">
        <v>233</v>
      </c>
      <c r="B146" s="1">
        <v>45641</v>
      </c>
      <c r="C146" t="s">
        <v>99</v>
      </c>
      <c r="D146" t="s">
        <v>23</v>
      </c>
      <c r="E146" t="s">
        <v>24</v>
      </c>
      <c r="F146">
        <v>3</v>
      </c>
      <c r="G146">
        <v>342000</v>
      </c>
      <c r="H146">
        <v>150000</v>
      </c>
      <c r="I146">
        <v>192000</v>
      </c>
      <c r="J146">
        <v>5</v>
      </c>
      <c r="K146" t="s">
        <v>18</v>
      </c>
      <c r="L146" t="s">
        <v>95</v>
      </c>
      <c r="M146" t="s">
        <v>59</v>
      </c>
      <c r="N146">
        <v>24</v>
      </c>
      <c r="O146">
        <f t="shared" si="8"/>
        <v>56.14</v>
      </c>
      <c r="P146">
        <f t="shared" si="9"/>
        <v>114000</v>
      </c>
      <c r="Q146" t="str">
        <f>VLOOKUP(C146,Customers!$A:$D,3,0)</f>
        <v>West</v>
      </c>
      <c r="R146" t="str">
        <f t="shared" si="10"/>
        <v>December</v>
      </c>
      <c r="S146">
        <f t="shared" si="11"/>
        <v>12</v>
      </c>
      <c r="T146" t="str">
        <f>VLOOKUP(C146,Customers!$A:$B,2,0)</f>
        <v>Tata Consultancy</v>
      </c>
    </row>
    <row r="147" spans="1:20">
      <c r="A147" t="s">
        <v>234</v>
      </c>
      <c r="B147" s="1">
        <v>45627</v>
      </c>
      <c r="C147" t="s">
        <v>151</v>
      </c>
      <c r="D147" t="s">
        <v>44</v>
      </c>
      <c r="E147" t="s">
        <v>45</v>
      </c>
      <c r="F147">
        <v>4</v>
      </c>
      <c r="G147">
        <v>1120000</v>
      </c>
      <c r="H147">
        <v>480000</v>
      </c>
      <c r="I147">
        <v>640000</v>
      </c>
      <c r="J147">
        <v>0</v>
      </c>
      <c r="K147" t="s">
        <v>30</v>
      </c>
      <c r="L147" t="s">
        <v>26</v>
      </c>
      <c r="M147" t="s">
        <v>59</v>
      </c>
      <c r="N147">
        <v>12</v>
      </c>
      <c r="O147">
        <f t="shared" si="8"/>
        <v>57.14</v>
      </c>
      <c r="P147">
        <f t="shared" si="9"/>
        <v>280000</v>
      </c>
      <c r="Q147" t="str">
        <f>VLOOKUP(C147,Customers!$A:$D,3,0)</f>
        <v>North</v>
      </c>
      <c r="R147" t="str">
        <f t="shared" si="10"/>
        <v>December</v>
      </c>
      <c r="S147">
        <f t="shared" si="11"/>
        <v>12</v>
      </c>
      <c r="T147" t="str">
        <f>VLOOKUP(C147,Customers!$A:$B,2,0)</f>
        <v>HCL Systems</v>
      </c>
    </row>
    <row r="148" spans="1:20">
      <c r="A148" t="s">
        <v>235</v>
      </c>
      <c r="B148" s="1">
        <v>45638</v>
      </c>
      <c r="C148" t="s">
        <v>99</v>
      </c>
      <c r="D148" t="s">
        <v>92</v>
      </c>
      <c r="E148" t="s">
        <v>24</v>
      </c>
      <c r="F148">
        <v>2</v>
      </c>
      <c r="G148">
        <v>342000</v>
      </c>
      <c r="H148">
        <v>160000</v>
      </c>
      <c r="I148">
        <v>182000</v>
      </c>
      <c r="J148">
        <v>5</v>
      </c>
      <c r="K148" t="s">
        <v>30</v>
      </c>
      <c r="L148" t="s">
        <v>51</v>
      </c>
      <c r="M148" t="s">
        <v>37</v>
      </c>
      <c r="N148">
        <v>12</v>
      </c>
      <c r="O148">
        <f t="shared" si="8"/>
        <v>53.22</v>
      </c>
      <c r="P148">
        <f t="shared" si="9"/>
        <v>171000</v>
      </c>
      <c r="Q148" t="str">
        <f>VLOOKUP(C148,Customers!$A:$D,3,0)</f>
        <v>West</v>
      </c>
      <c r="R148" t="str">
        <f t="shared" si="10"/>
        <v>December</v>
      </c>
      <c r="S148">
        <f t="shared" si="11"/>
        <v>12</v>
      </c>
      <c r="T148" t="str">
        <f>VLOOKUP(C148,Customers!$A:$B,2,0)</f>
        <v>Tata Consultancy</v>
      </c>
    </row>
    <row r="149" spans="1:20">
      <c r="A149" t="s">
        <v>236</v>
      </c>
      <c r="B149" s="1">
        <v>45625</v>
      </c>
      <c r="C149" t="s">
        <v>39</v>
      </c>
      <c r="D149" t="s">
        <v>89</v>
      </c>
      <c r="E149" t="s">
        <v>45</v>
      </c>
      <c r="F149">
        <v>2</v>
      </c>
      <c r="G149">
        <v>320000</v>
      </c>
      <c r="H149">
        <v>140000</v>
      </c>
      <c r="I149">
        <v>180000</v>
      </c>
      <c r="J149">
        <v>0</v>
      </c>
      <c r="K149" t="s">
        <v>30</v>
      </c>
      <c r="L149" t="s">
        <v>63</v>
      </c>
      <c r="M149" t="s">
        <v>32</v>
      </c>
      <c r="N149">
        <v>12</v>
      </c>
      <c r="O149">
        <f t="shared" si="8"/>
        <v>56.25</v>
      </c>
      <c r="P149">
        <f t="shared" si="9"/>
        <v>160000</v>
      </c>
      <c r="Q149" t="str">
        <f>VLOOKUP(C149,Customers!$A:$D,3,0)</f>
        <v>North</v>
      </c>
      <c r="R149" t="str">
        <f t="shared" si="10"/>
        <v>November</v>
      </c>
      <c r="S149">
        <f t="shared" si="11"/>
        <v>11</v>
      </c>
      <c r="T149" t="str">
        <f>VLOOKUP(C149,Customers!$A:$B,2,0)</f>
        <v>Amazon India</v>
      </c>
    </row>
    <row r="150" spans="1:20">
      <c r="A150" t="s">
        <v>237</v>
      </c>
      <c r="B150" s="1">
        <v>45328</v>
      </c>
      <c r="C150" t="s">
        <v>39</v>
      </c>
      <c r="D150" t="s">
        <v>86</v>
      </c>
      <c r="E150" t="s">
        <v>24</v>
      </c>
      <c r="F150">
        <v>4</v>
      </c>
      <c r="G150">
        <v>560000</v>
      </c>
      <c r="H150">
        <v>240000</v>
      </c>
      <c r="I150">
        <v>320000</v>
      </c>
      <c r="J150">
        <v>0</v>
      </c>
      <c r="K150" t="s">
        <v>30</v>
      </c>
      <c r="L150" t="s">
        <v>19</v>
      </c>
      <c r="M150" t="s">
        <v>37</v>
      </c>
      <c r="N150">
        <v>24</v>
      </c>
      <c r="O150">
        <f t="shared" si="8"/>
        <v>57.14</v>
      </c>
      <c r="P150">
        <f t="shared" si="9"/>
        <v>140000</v>
      </c>
      <c r="Q150" t="str">
        <f>VLOOKUP(C150,Customers!$A:$D,3,0)</f>
        <v>North</v>
      </c>
      <c r="R150" t="str">
        <f t="shared" si="10"/>
        <v>February</v>
      </c>
      <c r="S150">
        <f t="shared" si="11"/>
        <v>2</v>
      </c>
      <c r="T150" t="str">
        <f>VLOOKUP(C150,Customers!$A:$B,2,0)</f>
        <v>Amazon India</v>
      </c>
    </row>
    <row r="151" spans="1:20">
      <c r="A151" t="s">
        <v>238</v>
      </c>
      <c r="B151" s="1">
        <v>45585</v>
      </c>
      <c r="C151" t="s">
        <v>158</v>
      </c>
      <c r="D151" t="s">
        <v>89</v>
      </c>
      <c r="E151" t="s">
        <v>45</v>
      </c>
      <c r="F151">
        <v>3</v>
      </c>
      <c r="G151">
        <v>480000</v>
      </c>
      <c r="H151">
        <v>210000</v>
      </c>
      <c r="I151">
        <v>270000</v>
      </c>
      <c r="J151">
        <v>0</v>
      </c>
      <c r="K151" t="s">
        <v>30</v>
      </c>
      <c r="L151" t="s">
        <v>31</v>
      </c>
      <c r="M151" t="s">
        <v>37</v>
      </c>
      <c r="N151">
        <v>6</v>
      </c>
      <c r="O151">
        <f t="shared" si="8"/>
        <v>56.25</v>
      </c>
      <c r="P151">
        <f t="shared" si="9"/>
        <v>160000</v>
      </c>
      <c r="Q151" t="str">
        <f>VLOOKUP(C151,Customers!$A:$D,3,0)</f>
        <v>West</v>
      </c>
      <c r="R151" t="str">
        <f t="shared" si="10"/>
        <v>October</v>
      </c>
      <c r="S151">
        <f t="shared" si="11"/>
        <v>10</v>
      </c>
      <c r="T151" t="str">
        <f>VLOOKUP(C151,Customers!$A:$B,2,0)</f>
        <v>Tanishq Retail</v>
      </c>
    </row>
    <row r="152" spans="1:20">
      <c r="A152" t="s">
        <v>239</v>
      </c>
      <c r="B152" s="1">
        <v>45608</v>
      </c>
      <c r="C152" t="s">
        <v>167</v>
      </c>
      <c r="D152" t="s">
        <v>44</v>
      </c>
      <c r="E152" t="s">
        <v>45</v>
      </c>
      <c r="F152">
        <v>1</v>
      </c>
      <c r="G152">
        <v>266000</v>
      </c>
      <c r="H152">
        <v>120000</v>
      </c>
      <c r="I152">
        <v>146000</v>
      </c>
      <c r="J152">
        <v>5</v>
      </c>
      <c r="K152" t="s">
        <v>30</v>
      </c>
      <c r="L152" t="s">
        <v>58</v>
      </c>
      <c r="M152" t="s">
        <v>59</v>
      </c>
      <c r="N152">
        <v>24</v>
      </c>
      <c r="O152">
        <f t="shared" si="8"/>
        <v>54.89</v>
      </c>
      <c r="P152">
        <f t="shared" si="9"/>
        <v>266000</v>
      </c>
      <c r="Q152" t="str">
        <f>VLOOKUP(C152,Customers!$A:$D,3,0)</f>
        <v>South</v>
      </c>
      <c r="R152" t="str">
        <f t="shared" si="10"/>
        <v>November</v>
      </c>
      <c r="S152">
        <f t="shared" si="11"/>
        <v>11</v>
      </c>
      <c r="T152" t="str">
        <f>VLOOKUP(C152,Customers!$A:$B,2,0)</f>
        <v>Flipkart India</v>
      </c>
    </row>
    <row r="153" spans="1:20">
      <c r="A153" t="s">
        <v>240</v>
      </c>
      <c r="B153" s="1">
        <v>45601</v>
      </c>
      <c r="C153" t="s">
        <v>39</v>
      </c>
      <c r="D153" t="s">
        <v>35</v>
      </c>
      <c r="E153" t="s">
        <v>36</v>
      </c>
      <c r="F153">
        <v>2</v>
      </c>
      <c r="G153">
        <v>123500</v>
      </c>
      <c r="H153">
        <v>56000</v>
      </c>
      <c r="I153">
        <v>67500</v>
      </c>
      <c r="J153">
        <v>5</v>
      </c>
      <c r="K153" t="s">
        <v>30</v>
      </c>
      <c r="L153" t="s">
        <v>19</v>
      </c>
      <c r="M153" t="s">
        <v>20</v>
      </c>
      <c r="N153">
        <v>3</v>
      </c>
      <c r="O153">
        <f t="shared" si="8"/>
        <v>54.66</v>
      </c>
      <c r="P153">
        <f t="shared" si="9"/>
        <v>61750</v>
      </c>
      <c r="Q153" t="str">
        <f>VLOOKUP(C153,Customers!$A:$D,3,0)</f>
        <v>North</v>
      </c>
      <c r="R153" t="str">
        <f t="shared" si="10"/>
        <v>November</v>
      </c>
      <c r="S153">
        <f t="shared" si="11"/>
        <v>11</v>
      </c>
      <c r="T153" t="str">
        <f>VLOOKUP(C153,Customers!$A:$B,2,0)</f>
        <v>Amazon India</v>
      </c>
    </row>
    <row r="154" spans="1:20">
      <c r="A154" t="s">
        <v>241</v>
      </c>
      <c r="B154" s="1">
        <v>45563</v>
      </c>
      <c r="C154" t="s">
        <v>94</v>
      </c>
      <c r="D154" t="s">
        <v>44</v>
      </c>
      <c r="E154" t="s">
        <v>45</v>
      </c>
      <c r="F154">
        <v>3</v>
      </c>
      <c r="G154">
        <v>714000</v>
      </c>
      <c r="H154">
        <v>360000</v>
      </c>
      <c r="I154">
        <v>354000</v>
      </c>
      <c r="J154">
        <v>15</v>
      </c>
      <c r="K154" t="s">
        <v>18</v>
      </c>
      <c r="L154" t="s">
        <v>51</v>
      </c>
      <c r="M154" t="s">
        <v>32</v>
      </c>
      <c r="N154">
        <v>3</v>
      </c>
      <c r="O154">
        <f t="shared" si="8"/>
        <v>49.58</v>
      </c>
      <c r="P154">
        <f t="shared" si="9"/>
        <v>238000</v>
      </c>
      <c r="Q154" t="str">
        <f>VLOOKUP(C154,Customers!$A:$D,3,0)</f>
        <v>South</v>
      </c>
      <c r="R154" t="str">
        <f t="shared" si="10"/>
        <v>September</v>
      </c>
      <c r="S154">
        <f t="shared" si="11"/>
        <v>9</v>
      </c>
      <c r="T154" t="str">
        <f>VLOOKUP(C154,Customers!$A:$B,2,0)</f>
        <v>PhonePe Pay</v>
      </c>
    </row>
    <row r="155" spans="1:20">
      <c r="A155" t="s">
        <v>242</v>
      </c>
      <c r="B155" s="1">
        <v>45584</v>
      </c>
      <c r="C155" t="s">
        <v>131</v>
      </c>
      <c r="D155" t="s">
        <v>61</v>
      </c>
      <c r="E155" t="s">
        <v>62</v>
      </c>
      <c r="F155">
        <v>1</v>
      </c>
      <c r="G155">
        <v>220000</v>
      </c>
      <c r="H155">
        <v>90000</v>
      </c>
      <c r="I155">
        <v>130000</v>
      </c>
      <c r="J155">
        <v>0</v>
      </c>
      <c r="K155" t="s">
        <v>18</v>
      </c>
      <c r="L155" t="s">
        <v>47</v>
      </c>
      <c r="M155" t="s">
        <v>59</v>
      </c>
      <c r="N155">
        <v>24</v>
      </c>
      <c r="O155">
        <f t="shared" si="8"/>
        <v>59.09</v>
      </c>
      <c r="P155">
        <f t="shared" si="9"/>
        <v>220000</v>
      </c>
      <c r="Q155" t="str">
        <f>VLOOKUP(C155,Customers!$A:$D,3,0)</f>
        <v>North</v>
      </c>
      <c r="R155" t="str">
        <f t="shared" si="10"/>
        <v>October</v>
      </c>
      <c r="S155">
        <f t="shared" si="11"/>
        <v>10</v>
      </c>
      <c r="T155" t="str">
        <f>VLOOKUP(C155,Customers!$A:$B,2,0)</f>
        <v>Lenskart Vision</v>
      </c>
    </row>
    <row r="156" spans="1:20">
      <c r="A156" t="s">
        <v>243</v>
      </c>
      <c r="B156" s="1">
        <v>45640</v>
      </c>
      <c r="C156" t="s">
        <v>106</v>
      </c>
      <c r="D156" t="s">
        <v>67</v>
      </c>
      <c r="E156" t="s">
        <v>54</v>
      </c>
      <c r="F156">
        <v>3</v>
      </c>
      <c r="G156">
        <v>211200</v>
      </c>
      <c r="H156">
        <v>114000</v>
      </c>
      <c r="I156">
        <v>97200</v>
      </c>
      <c r="J156">
        <v>20</v>
      </c>
      <c r="K156" t="s">
        <v>18</v>
      </c>
      <c r="L156" t="s">
        <v>70</v>
      </c>
      <c r="M156" t="s">
        <v>32</v>
      </c>
      <c r="N156">
        <v>24</v>
      </c>
      <c r="O156">
        <f t="shared" si="8"/>
        <v>46.02</v>
      </c>
      <c r="P156">
        <f t="shared" si="9"/>
        <v>70400</v>
      </c>
      <c r="Q156" t="str">
        <f>VLOOKUP(C156,Customers!$A:$D,3,0)</f>
        <v>North</v>
      </c>
      <c r="R156" t="str">
        <f t="shared" si="10"/>
        <v>December</v>
      </c>
      <c r="S156">
        <f t="shared" si="11"/>
        <v>12</v>
      </c>
      <c r="T156" t="str">
        <f>VLOOKUP(C156,Customers!$A:$B,2,0)</f>
        <v>Urban Company</v>
      </c>
    </row>
    <row r="157" spans="1:20">
      <c r="A157" t="s">
        <v>244</v>
      </c>
      <c r="B157" s="1">
        <v>45326</v>
      </c>
      <c r="C157" t="s">
        <v>158</v>
      </c>
      <c r="D157" t="s">
        <v>119</v>
      </c>
      <c r="E157" t="s">
        <v>36</v>
      </c>
      <c r="F157">
        <v>3</v>
      </c>
      <c r="G157">
        <v>270000</v>
      </c>
      <c r="H157">
        <v>135000</v>
      </c>
      <c r="I157">
        <v>135000</v>
      </c>
      <c r="J157">
        <v>10</v>
      </c>
      <c r="K157" t="s">
        <v>30</v>
      </c>
      <c r="L157" t="s">
        <v>70</v>
      </c>
      <c r="M157" t="s">
        <v>20</v>
      </c>
      <c r="N157">
        <v>3</v>
      </c>
      <c r="O157">
        <f t="shared" si="8"/>
        <v>50</v>
      </c>
      <c r="P157">
        <f t="shared" si="9"/>
        <v>90000</v>
      </c>
      <c r="Q157" t="str">
        <f>VLOOKUP(C157,Customers!$A:$D,3,0)</f>
        <v>West</v>
      </c>
      <c r="R157" t="str">
        <f t="shared" si="10"/>
        <v>February</v>
      </c>
      <c r="S157">
        <f t="shared" si="11"/>
        <v>2</v>
      </c>
      <c r="T157" t="str">
        <f>VLOOKUP(C157,Customers!$A:$B,2,0)</f>
        <v>Tanishq Retail</v>
      </c>
    </row>
    <row r="158" spans="1:20">
      <c r="A158" t="s">
        <v>245</v>
      </c>
      <c r="B158" s="1">
        <v>45450</v>
      </c>
      <c r="C158" t="s">
        <v>99</v>
      </c>
      <c r="D158" t="s">
        <v>86</v>
      </c>
      <c r="E158" t="s">
        <v>24</v>
      </c>
      <c r="F158">
        <v>3</v>
      </c>
      <c r="G158">
        <v>336000</v>
      </c>
      <c r="H158">
        <v>180000</v>
      </c>
      <c r="I158">
        <v>156000</v>
      </c>
      <c r="J158">
        <v>20</v>
      </c>
      <c r="K158" t="s">
        <v>30</v>
      </c>
      <c r="L158" t="s">
        <v>19</v>
      </c>
      <c r="M158" t="s">
        <v>27</v>
      </c>
      <c r="N158">
        <v>24</v>
      </c>
      <c r="O158">
        <f t="shared" si="8"/>
        <v>46.43</v>
      </c>
      <c r="P158">
        <f t="shared" si="9"/>
        <v>112000</v>
      </c>
      <c r="Q158" t="str">
        <f>VLOOKUP(C158,Customers!$A:$D,3,0)</f>
        <v>West</v>
      </c>
      <c r="R158" t="str">
        <f t="shared" si="10"/>
        <v>June</v>
      </c>
      <c r="S158">
        <f t="shared" si="11"/>
        <v>6</v>
      </c>
      <c r="T158" t="str">
        <f>VLOOKUP(C158,Customers!$A:$B,2,0)</f>
        <v>Tata Consultancy</v>
      </c>
    </row>
    <row r="159" spans="1:20">
      <c r="A159" t="s">
        <v>246</v>
      </c>
      <c r="B159" s="1">
        <v>45528</v>
      </c>
      <c r="C159" t="s">
        <v>109</v>
      </c>
      <c r="D159" t="s">
        <v>86</v>
      </c>
      <c r="E159" t="s">
        <v>24</v>
      </c>
      <c r="F159">
        <v>4</v>
      </c>
      <c r="G159">
        <v>448000</v>
      </c>
      <c r="H159">
        <v>240000</v>
      </c>
      <c r="I159">
        <v>208000</v>
      </c>
      <c r="J159">
        <v>20</v>
      </c>
      <c r="K159" t="s">
        <v>25</v>
      </c>
      <c r="L159" t="s">
        <v>58</v>
      </c>
      <c r="M159" t="s">
        <v>37</v>
      </c>
      <c r="N159">
        <v>24</v>
      </c>
      <c r="O159">
        <f t="shared" si="8"/>
        <v>46.43</v>
      </c>
      <c r="P159">
        <f t="shared" si="9"/>
        <v>112000</v>
      </c>
      <c r="Q159" t="str">
        <f>VLOOKUP(C159,Customers!$A:$D,3,0)</f>
        <v>North</v>
      </c>
      <c r="R159" t="str">
        <f t="shared" si="10"/>
        <v>August</v>
      </c>
      <c r="S159">
        <f t="shared" si="11"/>
        <v>8</v>
      </c>
      <c r="T159" t="str">
        <f>VLOOKUP(C159,Customers!$A:$B,2,0)</f>
        <v>MakeMyTrip</v>
      </c>
    </row>
    <row r="160" spans="1:20">
      <c r="A160" t="s">
        <v>247</v>
      </c>
      <c r="B160" s="1">
        <v>45569</v>
      </c>
      <c r="C160" t="s">
        <v>79</v>
      </c>
      <c r="D160" t="s">
        <v>69</v>
      </c>
      <c r="E160" t="s">
        <v>62</v>
      </c>
      <c r="F160">
        <v>3</v>
      </c>
      <c r="G160">
        <v>242250</v>
      </c>
      <c r="H160">
        <v>120000</v>
      </c>
      <c r="I160">
        <v>122250</v>
      </c>
      <c r="J160">
        <v>15</v>
      </c>
      <c r="K160" t="s">
        <v>30</v>
      </c>
      <c r="L160" t="s">
        <v>63</v>
      </c>
      <c r="M160" t="s">
        <v>32</v>
      </c>
      <c r="N160">
        <v>3</v>
      </c>
      <c r="O160">
        <f t="shared" si="8"/>
        <v>50.46</v>
      </c>
      <c r="P160">
        <f t="shared" si="9"/>
        <v>80750</v>
      </c>
      <c r="Q160" t="str">
        <f>VLOOKUP(C160,Customers!$A:$D,3,0)</f>
        <v>West</v>
      </c>
      <c r="R160" t="str">
        <f t="shared" si="10"/>
        <v>October</v>
      </c>
      <c r="S160">
        <f t="shared" si="11"/>
        <v>10</v>
      </c>
      <c r="T160" t="str">
        <f>VLOOKUP(C160,Customers!$A:$B,2,0)</f>
        <v>Dream11 Sports</v>
      </c>
    </row>
    <row r="161" spans="1:20">
      <c r="A161" t="s">
        <v>248</v>
      </c>
      <c r="B161" s="1">
        <v>45418</v>
      </c>
      <c r="C161" t="s">
        <v>79</v>
      </c>
      <c r="D161" t="s">
        <v>80</v>
      </c>
      <c r="E161" t="s">
        <v>41</v>
      </c>
      <c r="F161">
        <v>5</v>
      </c>
      <c r="G161">
        <v>234000</v>
      </c>
      <c r="H161">
        <v>110000</v>
      </c>
      <c r="I161">
        <v>124000</v>
      </c>
      <c r="J161">
        <v>10</v>
      </c>
      <c r="K161" t="s">
        <v>30</v>
      </c>
      <c r="L161" t="s">
        <v>70</v>
      </c>
      <c r="M161" t="s">
        <v>37</v>
      </c>
      <c r="N161">
        <v>12</v>
      </c>
      <c r="O161">
        <f t="shared" si="8"/>
        <v>52.99</v>
      </c>
      <c r="P161">
        <f t="shared" si="9"/>
        <v>46800</v>
      </c>
      <c r="Q161" t="str">
        <f>VLOOKUP(C161,Customers!$A:$D,3,0)</f>
        <v>West</v>
      </c>
      <c r="R161" t="str">
        <f t="shared" si="10"/>
        <v>May</v>
      </c>
      <c r="S161">
        <f t="shared" si="11"/>
        <v>5</v>
      </c>
      <c r="T161" t="str">
        <f>VLOOKUP(C161,Customers!$A:$B,2,0)</f>
        <v>Dream11 Sports</v>
      </c>
    </row>
    <row r="162" spans="1:20">
      <c r="A162" t="s">
        <v>249</v>
      </c>
      <c r="B162" s="1">
        <v>45490</v>
      </c>
      <c r="C162" t="s">
        <v>104</v>
      </c>
      <c r="D162" t="s">
        <v>67</v>
      </c>
      <c r="E162" t="s">
        <v>54</v>
      </c>
      <c r="F162">
        <v>1</v>
      </c>
      <c r="G162">
        <v>70400</v>
      </c>
      <c r="H162">
        <v>38000</v>
      </c>
      <c r="I162">
        <v>32400</v>
      </c>
      <c r="J162">
        <v>20</v>
      </c>
      <c r="K162" t="s">
        <v>18</v>
      </c>
      <c r="L162" t="s">
        <v>70</v>
      </c>
      <c r="M162" t="s">
        <v>27</v>
      </c>
      <c r="N162">
        <v>12</v>
      </c>
      <c r="O162">
        <f t="shared" si="8"/>
        <v>46.02</v>
      </c>
      <c r="P162">
        <f t="shared" si="9"/>
        <v>70400</v>
      </c>
      <c r="Q162" t="str">
        <f>VLOOKUP(C162,Customers!$A:$D,3,0)</f>
        <v>South</v>
      </c>
      <c r="R162" t="str">
        <f t="shared" si="10"/>
        <v>July</v>
      </c>
      <c r="S162">
        <f t="shared" si="11"/>
        <v>7</v>
      </c>
      <c r="T162" t="str">
        <f>VLOOKUP(C162,Customers!$A:$B,2,0)</f>
        <v>Ola Cabs</v>
      </c>
    </row>
    <row r="163" spans="1:20">
      <c r="A163" t="s">
        <v>250</v>
      </c>
      <c r="B163" s="1">
        <v>45340</v>
      </c>
      <c r="C163" t="s">
        <v>143</v>
      </c>
      <c r="D163" t="s">
        <v>119</v>
      </c>
      <c r="E163" t="s">
        <v>36</v>
      </c>
      <c r="F163">
        <v>3</v>
      </c>
      <c r="G163">
        <v>255000</v>
      </c>
      <c r="H163">
        <v>135000</v>
      </c>
      <c r="I163">
        <v>120000</v>
      </c>
      <c r="J163">
        <v>15</v>
      </c>
      <c r="K163" t="s">
        <v>18</v>
      </c>
      <c r="L163" t="s">
        <v>26</v>
      </c>
      <c r="M163" t="s">
        <v>32</v>
      </c>
      <c r="N163">
        <v>12</v>
      </c>
      <c r="O163">
        <f t="shared" si="8"/>
        <v>47.06</v>
      </c>
      <c r="P163">
        <f t="shared" si="9"/>
        <v>85000</v>
      </c>
      <c r="Q163" t="str">
        <f>VLOOKUP(C163,Customers!$A:$D,3,0)</f>
        <v>North</v>
      </c>
      <c r="R163" t="str">
        <f t="shared" si="10"/>
        <v>February</v>
      </c>
      <c r="S163">
        <f t="shared" si="11"/>
        <v>2</v>
      </c>
      <c r="T163" t="str">
        <f>VLOOKUP(C163,Customers!$A:$B,2,0)</f>
        <v>Nykaa Fashion</v>
      </c>
    </row>
    <row r="164" spans="1:20">
      <c r="A164" t="s">
        <v>251</v>
      </c>
      <c r="B164" s="1">
        <v>45333</v>
      </c>
      <c r="C164" t="s">
        <v>88</v>
      </c>
      <c r="D164" t="s">
        <v>44</v>
      </c>
      <c r="E164" t="s">
        <v>45</v>
      </c>
      <c r="F164">
        <v>3</v>
      </c>
      <c r="G164">
        <v>714000</v>
      </c>
      <c r="H164">
        <v>360000</v>
      </c>
      <c r="I164">
        <v>354000</v>
      </c>
      <c r="J164">
        <v>15</v>
      </c>
      <c r="K164" t="s">
        <v>18</v>
      </c>
      <c r="L164" t="s">
        <v>95</v>
      </c>
      <c r="M164" t="s">
        <v>32</v>
      </c>
      <c r="N164">
        <v>3</v>
      </c>
      <c r="O164">
        <f t="shared" si="8"/>
        <v>49.58</v>
      </c>
      <c r="P164">
        <f t="shared" si="9"/>
        <v>238000</v>
      </c>
      <c r="Q164" t="str">
        <f>VLOOKUP(C164,Customers!$A:$D,3,0)</f>
        <v>West</v>
      </c>
      <c r="R164" t="str">
        <f t="shared" si="10"/>
        <v>February</v>
      </c>
      <c r="S164">
        <f t="shared" si="11"/>
        <v>2</v>
      </c>
      <c r="T164" t="str">
        <f>VLOOKUP(C164,Customers!$A:$B,2,0)</f>
        <v>Reliance Digital</v>
      </c>
    </row>
    <row r="165" spans="1:20">
      <c r="A165" t="s">
        <v>252</v>
      </c>
      <c r="B165" s="1">
        <v>45450</v>
      </c>
      <c r="C165" t="s">
        <v>158</v>
      </c>
      <c r="D165" t="s">
        <v>35</v>
      </c>
      <c r="E165" t="s">
        <v>36</v>
      </c>
      <c r="F165">
        <v>2</v>
      </c>
      <c r="G165">
        <v>110500</v>
      </c>
      <c r="H165">
        <v>56000</v>
      </c>
      <c r="I165">
        <v>54500</v>
      </c>
      <c r="J165">
        <v>15</v>
      </c>
      <c r="K165" t="s">
        <v>18</v>
      </c>
      <c r="L165" t="s">
        <v>63</v>
      </c>
      <c r="M165" t="s">
        <v>27</v>
      </c>
      <c r="N165">
        <v>24</v>
      </c>
      <c r="O165">
        <f t="shared" si="8"/>
        <v>49.32</v>
      </c>
      <c r="P165">
        <f t="shared" si="9"/>
        <v>55250</v>
      </c>
      <c r="Q165" t="str">
        <f>VLOOKUP(C165,Customers!$A:$D,3,0)</f>
        <v>West</v>
      </c>
      <c r="R165" t="str">
        <f t="shared" si="10"/>
        <v>June</v>
      </c>
      <c r="S165">
        <f t="shared" si="11"/>
        <v>6</v>
      </c>
      <c r="T165" t="str">
        <f>VLOOKUP(C165,Customers!$A:$B,2,0)</f>
        <v>Tanishq Retail</v>
      </c>
    </row>
    <row r="166" spans="1:20">
      <c r="A166" t="s">
        <v>253</v>
      </c>
      <c r="B166" s="1">
        <v>45552</v>
      </c>
      <c r="C166" t="s">
        <v>115</v>
      </c>
      <c r="D166" t="s">
        <v>119</v>
      </c>
      <c r="E166" t="s">
        <v>36</v>
      </c>
      <c r="F166">
        <v>2</v>
      </c>
      <c r="G166">
        <v>200000</v>
      </c>
      <c r="H166">
        <v>90000</v>
      </c>
      <c r="I166">
        <v>110000</v>
      </c>
      <c r="J166">
        <v>0</v>
      </c>
      <c r="K166" t="s">
        <v>30</v>
      </c>
      <c r="L166" t="s">
        <v>47</v>
      </c>
      <c r="M166" t="s">
        <v>32</v>
      </c>
      <c r="N166">
        <v>6</v>
      </c>
      <c r="O166">
        <f t="shared" si="8"/>
        <v>55</v>
      </c>
      <c r="P166">
        <f t="shared" si="9"/>
        <v>100000</v>
      </c>
      <c r="Q166" t="str">
        <f>VLOOKUP(C166,Customers!$A:$D,3,0)</f>
        <v>North</v>
      </c>
      <c r="R166" t="str">
        <f t="shared" si="10"/>
        <v>September</v>
      </c>
      <c r="S166">
        <f t="shared" si="11"/>
        <v>9</v>
      </c>
      <c r="T166" t="str">
        <f>VLOOKUP(C166,Customers!$A:$B,2,0)</f>
        <v>Paytm Services</v>
      </c>
    </row>
    <row r="167" spans="1:20">
      <c r="A167" t="s">
        <v>254</v>
      </c>
      <c r="B167" s="1">
        <v>45599</v>
      </c>
      <c r="C167" t="s">
        <v>43</v>
      </c>
      <c r="D167" t="s">
        <v>69</v>
      </c>
      <c r="E167" t="s">
        <v>62</v>
      </c>
      <c r="F167">
        <v>5</v>
      </c>
      <c r="G167">
        <v>380000</v>
      </c>
      <c r="H167">
        <v>200000</v>
      </c>
      <c r="I167">
        <v>180000</v>
      </c>
      <c r="J167">
        <v>20</v>
      </c>
      <c r="K167" t="s">
        <v>25</v>
      </c>
      <c r="L167" t="s">
        <v>63</v>
      </c>
      <c r="M167" t="s">
        <v>27</v>
      </c>
      <c r="N167">
        <v>12</v>
      </c>
      <c r="O167">
        <f t="shared" si="8"/>
        <v>47.37</v>
      </c>
      <c r="P167">
        <f t="shared" si="9"/>
        <v>76000</v>
      </c>
      <c r="Q167" t="str">
        <f>VLOOKUP(C167,Customers!$A:$D,3,0)</f>
        <v>South</v>
      </c>
      <c r="R167" t="str">
        <f t="shared" si="10"/>
        <v>November</v>
      </c>
      <c r="S167">
        <f t="shared" si="11"/>
        <v>11</v>
      </c>
      <c r="T167" t="str">
        <f>VLOOKUP(C167,Customers!$A:$B,2,0)</f>
        <v>Groww Invest</v>
      </c>
    </row>
    <row r="168" spans="1:20">
      <c r="A168" t="s">
        <v>255</v>
      </c>
      <c r="B168" s="1">
        <v>45610</v>
      </c>
      <c r="C168" t="s">
        <v>88</v>
      </c>
      <c r="D168" t="s">
        <v>101</v>
      </c>
      <c r="E168" t="s">
        <v>62</v>
      </c>
      <c r="F168">
        <v>2</v>
      </c>
      <c r="G168">
        <v>128000</v>
      </c>
      <c r="H168">
        <v>70000</v>
      </c>
      <c r="I168">
        <v>58000</v>
      </c>
      <c r="J168">
        <v>20</v>
      </c>
      <c r="K168" t="s">
        <v>18</v>
      </c>
      <c r="L168" t="s">
        <v>26</v>
      </c>
      <c r="M168" t="s">
        <v>32</v>
      </c>
      <c r="N168">
        <v>24</v>
      </c>
      <c r="O168">
        <f t="shared" si="8"/>
        <v>45.31</v>
      </c>
      <c r="P168">
        <f t="shared" si="9"/>
        <v>64000</v>
      </c>
      <c r="Q168" t="str">
        <f>VLOOKUP(C168,Customers!$A:$D,3,0)</f>
        <v>West</v>
      </c>
      <c r="R168" t="str">
        <f t="shared" si="10"/>
        <v>November</v>
      </c>
      <c r="S168">
        <f t="shared" si="11"/>
        <v>11</v>
      </c>
      <c r="T168" t="str">
        <f>VLOOKUP(C168,Customers!$A:$B,2,0)</f>
        <v>Reliance Digital</v>
      </c>
    </row>
    <row r="169" spans="1:20">
      <c r="A169" t="s">
        <v>256</v>
      </c>
      <c r="B169" s="1">
        <v>45314</v>
      </c>
      <c r="C169" t="s">
        <v>49</v>
      </c>
      <c r="D169" t="s">
        <v>16</v>
      </c>
      <c r="E169" t="s">
        <v>17</v>
      </c>
      <c r="F169">
        <v>4</v>
      </c>
      <c r="G169">
        <v>252000</v>
      </c>
      <c r="H169">
        <v>120000</v>
      </c>
      <c r="I169">
        <v>132000</v>
      </c>
      <c r="J169">
        <v>10</v>
      </c>
      <c r="K169" t="s">
        <v>30</v>
      </c>
      <c r="L169" t="s">
        <v>47</v>
      </c>
      <c r="M169" t="s">
        <v>32</v>
      </c>
      <c r="N169">
        <v>6</v>
      </c>
      <c r="O169">
        <f t="shared" si="8"/>
        <v>52.38</v>
      </c>
      <c r="P169">
        <f t="shared" si="9"/>
        <v>63000</v>
      </c>
      <c r="Q169" t="str">
        <f>VLOOKUP(C169,Customers!$A:$D,3,0)</f>
        <v>South</v>
      </c>
      <c r="R169" t="str">
        <f t="shared" si="10"/>
        <v>January</v>
      </c>
      <c r="S169">
        <f t="shared" si="11"/>
        <v>1</v>
      </c>
      <c r="T169" t="str">
        <f>VLOOKUP(C169,Customers!$A:$B,2,0)</f>
        <v>Myntra Fashion</v>
      </c>
    </row>
    <row r="170" spans="1:20">
      <c r="A170" t="s">
        <v>257</v>
      </c>
      <c r="B170" s="1">
        <v>45450</v>
      </c>
      <c r="C170" t="s">
        <v>109</v>
      </c>
      <c r="D170" t="s">
        <v>76</v>
      </c>
      <c r="E170" t="s">
        <v>41</v>
      </c>
      <c r="F170">
        <v>2</v>
      </c>
      <c r="G170">
        <v>79800</v>
      </c>
      <c r="H170">
        <v>36000</v>
      </c>
      <c r="I170">
        <v>43800</v>
      </c>
      <c r="J170">
        <v>5</v>
      </c>
      <c r="K170" t="s">
        <v>18</v>
      </c>
      <c r="L170" t="s">
        <v>26</v>
      </c>
      <c r="M170" t="s">
        <v>59</v>
      </c>
      <c r="N170">
        <v>24</v>
      </c>
      <c r="O170">
        <f t="shared" si="8"/>
        <v>54.89</v>
      </c>
      <c r="P170">
        <f t="shared" si="9"/>
        <v>39900</v>
      </c>
      <c r="Q170" t="str">
        <f>VLOOKUP(C170,Customers!$A:$D,3,0)</f>
        <v>North</v>
      </c>
      <c r="R170" t="str">
        <f t="shared" si="10"/>
        <v>June</v>
      </c>
      <c r="S170">
        <f t="shared" si="11"/>
        <v>6</v>
      </c>
      <c r="T170" t="str">
        <f>VLOOKUP(C170,Customers!$A:$B,2,0)</f>
        <v>MakeMyTrip</v>
      </c>
    </row>
    <row r="171" spans="1:20">
      <c r="A171" t="s">
        <v>258</v>
      </c>
      <c r="B171" s="1">
        <v>45436</v>
      </c>
      <c r="C171" t="s">
        <v>124</v>
      </c>
      <c r="D171" t="s">
        <v>80</v>
      </c>
      <c r="E171" t="s">
        <v>41</v>
      </c>
      <c r="F171">
        <v>4</v>
      </c>
      <c r="G171">
        <v>208000</v>
      </c>
      <c r="H171">
        <v>88000</v>
      </c>
      <c r="I171">
        <v>120000</v>
      </c>
      <c r="J171">
        <v>0</v>
      </c>
      <c r="K171" t="s">
        <v>30</v>
      </c>
      <c r="L171" t="s">
        <v>26</v>
      </c>
      <c r="M171" t="s">
        <v>32</v>
      </c>
      <c r="N171">
        <v>12</v>
      </c>
      <c r="O171">
        <f t="shared" si="8"/>
        <v>57.69</v>
      </c>
      <c r="P171">
        <f t="shared" si="9"/>
        <v>52000</v>
      </c>
      <c r="Q171" t="str">
        <f>VLOOKUP(C171,Customers!$A:$D,3,0)</f>
        <v>South</v>
      </c>
      <c r="R171" t="str">
        <f t="shared" si="10"/>
        <v>May</v>
      </c>
      <c r="S171">
        <f t="shared" si="11"/>
        <v>5</v>
      </c>
      <c r="T171" t="str">
        <f>VLOOKUP(C171,Customers!$A:$B,2,0)</f>
        <v>Zerodha Capital</v>
      </c>
    </row>
    <row r="172" spans="1:20">
      <c r="A172" t="s">
        <v>259</v>
      </c>
      <c r="B172" s="1">
        <v>45318</v>
      </c>
      <c r="C172" t="s">
        <v>43</v>
      </c>
      <c r="D172" t="s">
        <v>44</v>
      </c>
      <c r="E172" t="s">
        <v>45</v>
      </c>
      <c r="F172">
        <v>5</v>
      </c>
      <c r="G172">
        <v>1400000</v>
      </c>
      <c r="H172">
        <v>600000</v>
      </c>
      <c r="I172">
        <v>800000</v>
      </c>
      <c r="J172">
        <v>0</v>
      </c>
      <c r="K172" t="s">
        <v>18</v>
      </c>
      <c r="L172" t="s">
        <v>63</v>
      </c>
      <c r="M172" t="s">
        <v>27</v>
      </c>
      <c r="N172">
        <v>12</v>
      </c>
      <c r="O172">
        <f t="shared" si="8"/>
        <v>57.14</v>
      </c>
      <c r="P172">
        <f t="shared" si="9"/>
        <v>280000</v>
      </c>
      <c r="Q172" t="str">
        <f>VLOOKUP(C172,Customers!$A:$D,3,0)</f>
        <v>South</v>
      </c>
      <c r="R172" t="str">
        <f t="shared" si="10"/>
        <v>January</v>
      </c>
      <c r="S172">
        <f t="shared" si="11"/>
        <v>1</v>
      </c>
      <c r="T172" t="str">
        <f>VLOOKUP(C172,Customers!$A:$B,2,0)</f>
        <v>Groww Invest</v>
      </c>
    </row>
    <row r="173" spans="1:20">
      <c r="A173" t="s">
        <v>260</v>
      </c>
      <c r="B173" s="1">
        <v>45334</v>
      </c>
      <c r="C173" t="s">
        <v>15</v>
      </c>
      <c r="D173" t="s">
        <v>40</v>
      </c>
      <c r="E173" t="s">
        <v>41</v>
      </c>
      <c r="F173">
        <v>5</v>
      </c>
      <c r="G173">
        <v>175000</v>
      </c>
      <c r="H173">
        <v>75000</v>
      </c>
      <c r="I173">
        <v>100000</v>
      </c>
      <c r="J173">
        <v>0</v>
      </c>
      <c r="K173" t="s">
        <v>30</v>
      </c>
      <c r="L173" t="s">
        <v>19</v>
      </c>
      <c r="M173" t="s">
        <v>32</v>
      </c>
      <c r="N173">
        <v>24</v>
      </c>
      <c r="O173">
        <f t="shared" si="8"/>
        <v>57.14</v>
      </c>
      <c r="P173">
        <f t="shared" si="9"/>
        <v>35000</v>
      </c>
      <c r="Q173" t="str">
        <f>VLOOKUP(C173,Customers!$A:$D,3,0)</f>
        <v>South</v>
      </c>
      <c r="R173" t="str">
        <f t="shared" si="10"/>
        <v>February</v>
      </c>
      <c r="S173">
        <f t="shared" si="11"/>
        <v>2</v>
      </c>
      <c r="T173" t="str">
        <f>VLOOKUP(C173,Customers!$A:$B,2,0)</f>
        <v>Swiggy Inc</v>
      </c>
    </row>
    <row r="174" spans="1:20">
      <c r="A174" t="s">
        <v>261</v>
      </c>
      <c r="B174" s="1">
        <v>45470</v>
      </c>
      <c r="C174" t="s">
        <v>29</v>
      </c>
      <c r="D174" t="s">
        <v>86</v>
      </c>
      <c r="E174" t="s">
        <v>24</v>
      </c>
      <c r="F174">
        <v>4</v>
      </c>
      <c r="G174">
        <v>504000</v>
      </c>
      <c r="H174">
        <v>240000</v>
      </c>
      <c r="I174">
        <v>264000</v>
      </c>
      <c r="J174">
        <v>10</v>
      </c>
      <c r="K174" t="s">
        <v>30</v>
      </c>
      <c r="L174" t="s">
        <v>58</v>
      </c>
      <c r="M174" t="s">
        <v>59</v>
      </c>
      <c r="N174">
        <v>3</v>
      </c>
      <c r="O174">
        <f t="shared" si="8"/>
        <v>52.38</v>
      </c>
      <c r="P174">
        <f t="shared" si="9"/>
        <v>126000</v>
      </c>
      <c r="Q174" t="str">
        <f>VLOOKUP(C174,Customers!$A:$D,3,0)</f>
        <v>South</v>
      </c>
      <c r="R174" t="str">
        <f t="shared" si="10"/>
        <v>June</v>
      </c>
      <c r="S174">
        <f t="shared" si="11"/>
        <v>6</v>
      </c>
      <c r="T174" t="str">
        <f>VLOOKUP(C174,Customers!$A:$B,2,0)</f>
        <v>Meesho Network</v>
      </c>
    </row>
    <row r="175" spans="1:20">
      <c r="A175" t="s">
        <v>262</v>
      </c>
      <c r="B175" s="1">
        <v>45602</v>
      </c>
      <c r="C175" t="s">
        <v>136</v>
      </c>
      <c r="D175" t="s">
        <v>69</v>
      </c>
      <c r="E175" t="s">
        <v>62</v>
      </c>
      <c r="F175">
        <v>3</v>
      </c>
      <c r="G175">
        <v>228000</v>
      </c>
      <c r="H175">
        <v>120000</v>
      </c>
      <c r="I175">
        <v>108000</v>
      </c>
      <c r="J175">
        <v>20</v>
      </c>
      <c r="K175" t="s">
        <v>30</v>
      </c>
      <c r="L175" t="s">
        <v>51</v>
      </c>
      <c r="M175" t="s">
        <v>27</v>
      </c>
      <c r="N175">
        <v>12</v>
      </c>
      <c r="O175">
        <f t="shared" si="8"/>
        <v>47.37</v>
      </c>
      <c r="P175">
        <f t="shared" si="9"/>
        <v>76000</v>
      </c>
      <c r="Q175" t="str">
        <f>VLOOKUP(C175,Customers!$A:$D,3,0)</f>
        <v>North</v>
      </c>
      <c r="R175" t="str">
        <f t="shared" si="10"/>
        <v>November</v>
      </c>
      <c r="S175">
        <f t="shared" si="11"/>
        <v>11</v>
      </c>
      <c r="T175" t="str">
        <f>VLOOKUP(C175,Customers!$A:$B,2,0)</f>
        <v>BharatPe</v>
      </c>
    </row>
    <row r="176" spans="1:20">
      <c r="A176" t="s">
        <v>263</v>
      </c>
      <c r="B176" s="1">
        <v>45533</v>
      </c>
      <c r="C176" t="s">
        <v>88</v>
      </c>
      <c r="D176" t="s">
        <v>76</v>
      </c>
      <c r="E176" t="s">
        <v>41</v>
      </c>
      <c r="F176">
        <v>4</v>
      </c>
      <c r="G176">
        <v>151200</v>
      </c>
      <c r="H176">
        <v>72000</v>
      </c>
      <c r="I176">
        <v>79200</v>
      </c>
      <c r="J176">
        <v>10</v>
      </c>
      <c r="K176" t="s">
        <v>30</v>
      </c>
      <c r="L176" t="s">
        <v>19</v>
      </c>
      <c r="M176" t="s">
        <v>27</v>
      </c>
      <c r="N176">
        <v>12</v>
      </c>
      <c r="O176">
        <f t="shared" si="8"/>
        <v>52.38</v>
      </c>
      <c r="P176">
        <f t="shared" si="9"/>
        <v>37800</v>
      </c>
      <c r="Q176" t="str">
        <f>VLOOKUP(C176,Customers!$A:$D,3,0)</f>
        <v>West</v>
      </c>
      <c r="R176" t="str">
        <f t="shared" si="10"/>
        <v>August</v>
      </c>
      <c r="S176">
        <f t="shared" si="11"/>
        <v>8</v>
      </c>
      <c r="T176" t="str">
        <f>VLOOKUP(C176,Customers!$A:$B,2,0)</f>
        <v>Reliance Digital</v>
      </c>
    </row>
    <row r="177" spans="1:20">
      <c r="A177" t="s">
        <v>264</v>
      </c>
      <c r="B177" s="1">
        <v>45402</v>
      </c>
      <c r="C177" t="s">
        <v>91</v>
      </c>
      <c r="D177" t="s">
        <v>67</v>
      </c>
      <c r="E177" t="s">
        <v>54</v>
      </c>
      <c r="F177">
        <v>5</v>
      </c>
      <c r="G177">
        <v>418000</v>
      </c>
      <c r="H177">
        <v>190000</v>
      </c>
      <c r="I177">
        <v>228000</v>
      </c>
      <c r="J177">
        <v>5</v>
      </c>
      <c r="K177" t="s">
        <v>30</v>
      </c>
      <c r="L177" t="s">
        <v>97</v>
      </c>
      <c r="M177" t="s">
        <v>32</v>
      </c>
      <c r="N177">
        <v>12</v>
      </c>
      <c r="O177">
        <f t="shared" si="8"/>
        <v>54.55</v>
      </c>
      <c r="P177">
        <f t="shared" si="9"/>
        <v>83600</v>
      </c>
      <c r="Q177" t="str">
        <f>VLOOKUP(C177,Customers!$A:$D,3,0)</f>
        <v>South</v>
      </c>
      <c r="R177" t="str">
        <f t="shared" si="10"/>
        <v>April</v>
      </c>
      <c r="S177">
        <f t="shared" si="11"/>
        <v>4</v>
      </c>
      <c r="T177" t="str">
        <f>VLOOKUP(C177,Customers!$A:$B,2,0)</f>
        <v>CRED Fintech</v>
      </c>
    </row>
    <row r="178" spans="1:20">
      <c r="A178" t="s">
        <v>265</v>
      </c>
      <c r="B178" s="1">
        <v>45615</v>
      </c>
      <c r="C178" t="s">
        <v>158</v>
      </c>
      <c r="D178" t="s">
        <v>67</v>
      </c>
      <c r="E178" t="s">
        <v>54</v>
      </c>
      <c r="F178">
        <v>4</v>
      </c>
      <c r="G178">
        <v>352000</v>
      </c>
      <c r="H178">
        <v>152000</v>
      </c>
      <c r="I178">
        <v>200000</v>
      </c>
      <c r="J178">
        <v>0</v>
      </c>
      <c r="K178" t="s">
        <v>30</v>
      </c>
      <c r="L178" t="s">
        <v>47</v>
      </c>
      <c r="M178" t="s">
        <v>20</v>
      </c>
      <c r="N178">
        <v>3</v>
      </c>
      <c r="O178">
        <f t="shared" si="8"/>
        <v>56.82</v>
      </c>
      <c r="P178">
        <f t="shared" si="9"/>
        <v>88000</v>
      </c>
      <c r="Q178" t="str">
        <f>VLOOKUP(C178,Customers!$A:$D,3,0)</f>
        <v>West</v>
      </c>
      <c r="R178" t="str">
        <f t="shared" si="10"/>
        <v>November</v>
      </c>
      <c r="S178">
        <f t="shared" si="11"/>
        <v>11</v>
      </c>
      <c r="T178" t="str">
        <f>VLOOKUP(C178,Customers!$A:$B,2,0)</f>
        <v>Tanishq Retail</v>
      </c>
    </row>
    <row r="179" spans="1:20">
      <c r="A179" t="s">
        <v>266</v>
      </c>
      <c r="B179" s="1">
        <v>45615</v>
      </c>
      <c r="C179" t="s">
        <v>65</v>
      </c>
      <c r="D179" t="s">
        <v>61</v>
      </c>
      <c r="E179" t="s">
        <v>62</v>
      </c>
      <c r="F179">
        <v>3</v>
      </c>
      <c r="G179">
        <v>627000</v>
      </c>
      <c r="H179">
        <v>270000</v>
      </c>
      <c r="I179">
        <v>357000</v>
      </c>
      <c r="J179">
        <v>5</v>
      </c>
      <c r="K179" t="s">
        <v>30</v>
      </c>
      <c r="L179" t="s">
        <v>26</v>
      </c>
      <c r="M179" t="s">
        <v>37</v>
      </c>
      <c r="N179">
        <v>6</v>
      </c>
      <c r="O179">
        <f t="shared" si="8"/>
        <v>56.94</v>
      </c>
      <c r="P179">
        <f t="shared" si="9"/>
        <v>209000</v>
      </c>
      <c r="Q179" t="str">
        <f>VLOOKUP(C179,Customers!$A:$D,3,0)</f>
        <v>North</v>
      </c>
      <c r="R179" t="str">
        <f t="shared" si="10"/>
        <v>November</v>
      </c>
      <c r="S179">
        <f t="shared" si="11"/>
        <v>11</v>
      </c>
      <c r="T179" t="str">
        <f>VLOOKUP(C179,Customers!$A:$B,2,0)</f>
        <v>Zomato Pvt Ltd</v>
      </c>
    </row>
    <row r="180" spans="1:20">
      <c r="A180" t="s">
        <v>267</v>
      </c>
      <c r="B180" s="1">
        <v>45584</v>
      </c>
      <c r="C180" t="s">
        <v>49</v>
      </c>
      <c r="D180" t="s">
        <v>23</v>
      </c>
      <c r="E180" t="s">
        <v>24</v>
      </c>
      <c r="F180">
        <v>5</v>
      </c>
      <c r="G180">
        <v>570000</v>
      </c>
      <c r="H180">
        <v>250000</v>
      </c>
      <c r="I180">
        <v>320000</v>
      </c>
      <c r="J180">
        <v>5</v>
      </c>
      <c r="K180" t="s">
        <v>30</v>
      </c>
      <c r="L180" t="s">
        <v>63</v>
      </c>
      <c r="M180" t="s">
        <v>20</v>
      </c>
      <c r="N180">
        <v>3</v>
      </c>
      <c r="O180">
        <f t="shared" si="8"/>
        <v>56.14</v>
      </c>
      <c r="P180">
        <f t="shared" si="9"/>
        <v>114000</v>
      </c>
      <c r="Q180" t="str">
        <f>VLOOKUP(C180,Customers!$A:$D,3,0)</f>
        <v>South</v>
      </c>
      <c r="R180" t="str">
        <f t="shared" si="10"/>
        <v>October</v>
      </c>
      <c r="S180">
        <f t="shared" si="11"/>
        <v>10</v>
      </c>
      <c r="T180" t="str">
        <f>VLOOKUP(C180,Customers!$A:$B,2,0)</f>
        <v>Myntra Fashion</v>
      </c>
    </row>
    <row r="181" spans="1:20">
      <c r="A181" t="s">
        <v>268</v>
      </c>
      <c r="B181" s="1">
        <v>45491</v>
      </c>
      <c r="C181" t="s">
        <v>99</v>
      </c>
      <c r="D181" t="s">
        <v>154</v>
      </c>
      <c r="E181" t="s">
        <v>45</v>
      </c>
      <c r="F181">
        <v>3</v>
      </c>
      <c r="G181">
        <v>370500</v>
      </c>
      <c r="H181">
        <v>165000</v>
      </c>
      <c r="I181">
        <v>205500</v>
      </c>
      <c r="J181">
        <v>5</v>
      </c>
      <c r="K181" t="s">
        <v>18</v>
      </c>
      <c r="L181" t="s">
        <v>31</v>
      </c>
      <c r="M181" t="s">
        <v>37</v>
      </c>
      <c r="N181">
        <v>3</v>
      </c>
      <c r="O181">
        <f t="shared" si="8"/>
        <v>55.47</v>
      </c>
      <c r="P181">
        <f t="shared" si="9"/>
        <v>123500</v>
      </c>
      <c r="Q181" t="str">
        <f>VLOOKUP(C181,Customers!$A:$D,3,0)</f>
        <v>West</v>
      </c>
      <c r="R181" t="str">
        <f t="shared" si="10"/>
        <v>July</v>
      </c>
      <c r="S181">
        <f t="shared" si="11"/>
        <v>7</v>
      </c>
      <c r="T181" t="str">
        <f>VLOOKUP(C181,Customers!$A:$B,2,0)</f>
        <v>Tata Consultancy</v>
      </c>
    </row>
    <row r="182" spans="1:20">
      <c r="A182" t="s">
        <v>269</v>
      </c>
      <c r="B182" s="1">
        <v>45646</v>
      </c>
      <c r="C182" t="s">
        <v>158</v>
      </c>
      <c r="D182" t="s">
        <v>69</v>
      </c>
      <c r="E182" t="s">
        <v>62</v>
      </c>
      <c r="F182">
        <v>5</v>
      </c>
      <c r="G182">
        <v>403750</v>
      </c>
      <c r="H182">
        <v>200000</v>
      </c>
      <c r="I182">
        <v>203750</v>
      </c>
      <c r="J182">
        <v>15</v>
      </c>
      <c r="K182" t="s">
        <v>30</v>
      </c>
      <c r="L182" t="s">
        <v>51</v>
      </c>
      <c r="M182" t="s">
        <v>27</v>
      </c>
      <c r="N182">
        <v>12</v>
      </c>
      <c r="O182">
        <f t="shared" si="8"/>
        <v>50.46</v>
      </c>
      <c r="P182">
        <f t="shared" si="9"/>
        <v>80750</v>
      </c>
      <c r="Q182" t="str">
        <f>VLOOKUP(C182,Customers!$A:$D,3,0)</f>
        <v>West</v>
      </c>
      <c r="R182" t="str">
        <f t="shared" si="10"/>
        <v>December</v>
      </c>
      <c r="S182">
        <f t="shared" si="11"/>
        <v>12</v>
      </c>
      <c r="T182" t="str">
        <f>VLOOKUP(C182,Customers!$A:$B,2,0)</f>
        <v>Tanishq Retail</v>
      </c>
    </row>
    <row r="183" spans="1:20">
      <c r="A183" t="s">
        <v>270</v>
      </c>
      <c r="B183" s="1">
        <v>45571</v>
      </c>
      <c r="C183" t="s">
        <v>158</v>
      </c>
      <c r="D183" t="s">
        <v>101</v>
      </c>
      <c r="E183" t="s">
        <v>62</v>
      </c>
      <c r="F183">
        <v>4</v>
      </c>
      <c r="G183">
        <v>272000</v>
      </c>
      <c r="H183">
        <v>140000</v>
      </c>
      <c r="I183">
        <v>132000</v>
      </c>
      <c r="J183">
        <v>15</v>
      </c>
      <c r="K183" t="s">
        <v>30</v>
      </c>
      <c r="L183" t="s">
        <v>51</v>
      </c>
      <c r="M183" t="s">
        <v>32</v>
      </c>
      <c r="N183">
        <v>3</v>
      </c>
      <c r="O183">
        <f t="shared" si="8"/>
        <v>48.53</v>
      </c>
      <c r="P183">
        <f t="shared" si="9"/>
        <v>68000</v>
      </c>
      <c r="Q183" t="str">
        <f>VLOOKUP(C183,Customers!$A:$D,3,0)</f>
        <v>West</v>
      </c>
      <c r="R183" t="str">
        <f t="shared" si="10"/>
        <v>October</v>
      </c>
      <c r="S183">
        <f t="shared" si="11"/>
        <v>10</v>
      </c>
      <c r="T183" t="str">
        <f>VLOOKUP(C183,Customers!$A:$B,2,0)</f>
        <v>Tanishq Retail</v>
      </c>
    </row>
    <row r="184" spans="1:20">
      <c r="A184" t="s">
        <v>271</v>
      </c>
      <c r="B184" s="1">
        <v>45587</v>
      </c>
      <c r="C184" t="s">
        <v>99</v>
      </c>
      <c r="D184" t="s">
        <v>57</v>
      </c>
      <c r="E184" t="s">
        <v>17</v>
      </c>
      <c r="F184">
        <v>1</v>
      </c>
      <c r="G184">
        <v>57000</v>
      </c>
      <c r="H184">
        <v>25000</v>
      </c>
      <c r="I184">
        <v>32000</v>
      </c>
      <c r="J184">
        <v>5</v>
      </c>
      <c r="K184" t="s">
        <v>30</v>
      </c>
      <c r="L184" t="s">
        <v>63</v>
      </c>
      <c r="M184" t="s">
        <v>59</v>
      </c>
      <c r="N184">
        <v>24</v>
      </c>
      <c r="O184">
        <f t="shared" si="8"/>
        <v>56.14</v>
      </c>
      <c r="P184">
        <f t="shared" si="9"/>
        <v>57000</v>
      </c>
      <c r="Q184" t="str">
        <f>VLOOKUP(C184,Customers!$A:$D,3,0)</f>
        <v>West</v>
      </c>
      <c r="R184" t="str">
        <f t="shared" si="10"/>
        <v>October</v>
      </c>
      <c r="S184">
        <f t="shared" si="11"/>
        <v>10</v>
      </c>
      <c r="T184" t="str">
        <f>VLOOKUP(C184,Customers!$A:$B,2,0)</f>
        <v>Tata Consultancy</v>
      </c>
    </row>
    <row r="185" spans="1:20">
      <c r="A185" t="s">
        <v>272</v>
      </c>
      <c r="B185" s="1">
        <v>45644</v>
      </c>
      <c r="C185" t="s">
        <v>73</v>
      </c>
      <c r="D185" t="s">
        <v>119</v>
      </c>
      <c r="E185" t="s">
        <v>36</v>
      </c>
      <c r="F185">
        <v>3</v>
      </c>
      <c r="G185">
        <v>240000</v>
      </c>
      <c r="H185">
        <v>135000</v>
      </c>
      <c r="I185">
        <v>105000</v>
      </c>
      <c r="J185">
        <v>20</v>
      </c>
      <c r="K185" t="s">
        <v>30</v>
      </c>
      <c r="L185" t="s">
        <v>70</v>
      </c>
      <c r="M185" t="s">
        <v>37</v>
      </c>
      <c r="N185">
        <v>3</v>
      </c>
      <c r="O185">
        <f t="shared" si="8"/>
        <v>43.75</v>
      </c>
      <c r="P185">
        <f t="shared" si="9"/>
        <v>80000</v>
      </c>
      <c r="Q185" t="str">
        <f>VLOOKUP(C185,Customers!$A:$D,3,0)</f>
        <v>West</v>
      </c>
      <c r="R185" t="str">
        <f t="shared" si="10"/>
        <v>December</v>
      </c>
      <c r="S185">
        <f t="shared" si="11"/>
        <v>12</v>
      </c>
      <c r="T185" t="str">
        <f>VLOOKUP(C185,Customers!$A:$B,2,0)</f>
        <v>ICICI Tech</v>
      </c>
    </row>
    <row r="186" spans="1:20">
      <c r="A186" t="s">
        <v>273</v>
      </c>
      <c r="B186" s="1">
        <v>45480</v>
      </c>
      <c r="C186" t="s">
        <v>143</v>
      </c>
      <c r="D186" t="s">
        <v>40</v>
      </c>
      <c r="E186" t="s">
        <v>41</v>
      </c>
      <c r="F186">
        <v>4</v>
      </c>
      <c r="G186">
        <v>133000</v>
      </c>
      <c r="H186">
        <v>60000</v>
      </c>
      <c r="I186">
        <v>73000</v>
      </c>
      <c r="J186">
        <v>5</v>
      </c>
      <c r="K186" t="s">
        <v>30</v>
      </c>
      <c r="L186" t="s">
        <v>47</v>
      </c>
      <c r="M186" t="s">
        <v>59</v>
      </c>
      <c r="N186">
        <v>12</v>
      </c>
      <c r="O186">
        <f t="shared" si="8"/>
        <v>54.89</v>
      </c>
      <c r="P186">
        <f t="shared" si="9"/>
        <v>33250</v>
      </c>
      <c r="Q186" t="str">
        <f>VLOOKUP(C186,Customers!$A:$D,3,0)</f>
        <v>North</v>
      </c>
      <c r="R186" t="str">
        <f t="shared" si="10"/>
        <v>July</v>
      </c>
      <c r="S186">
        <f t="shared" si="11"/>
        <v>7</v>
      </c>
      <c r="T186" t="str">
        <f>VLOOKUP(C186,Customers!$A:$B,2,0)</f>
        <v>Nykaa Fashion</v>
      </c>
    </row>
    <row r="187" spans="1:20">
      <c r="A187" t="s">
        <v>274</v>
      </c>
      <c r="B187" s="1">
        <v>45572</v>
      </c>
      <c r="C187" t="s">
        <v>39</v>
      </c>
      <c r="D187" t="s">
        <v>89</v>
      </c>
      <c r="E187" t="s">
        <v>45</v>
      </c>
      <c r="F187">
        <v>1</v>
      </c>
      <c r="G187">
        <v>152000</v>
      </c>
      <c r="H187">
        <v>70000</v>
      </c>
      <c r="I187">
        <v>82000</v>
      </c>
      <c r="J187">
        <v>5</v>
      </c>
      <c r="K187" t="s">
        <v>25</v>
      </c>
      <c r="L187" t="s">
        <v>51</v>
      </c>
      <c r="M187" t="s">
        <v>20</v>
      </c>
      <c r="N187">
        <v>12</v>
      </c>
      <c r="O187">
        <f t="shared" si="8"/>
        <v>53.95</v>
      </c>
      <c r="P187">
        <f t="shared" si="9"/>
        <v>152000</v>
      </c>
      <c r="Q187" t="str">
        <f>VLOOKUP(C187,Customers!$A:$D,3,0)</f>
        <v>North</v>
      </c>
      <c r="R187" t="str">
        <f t="shared" si="10"/>
        <v>October</v>
      </c>
      <c r="S187">
        <f t="shared" si="11"/>
        <v>10</v>
      </c>
      <c r="T187" t="str">
        <f>VLOOKUP(C187,Customers!$A:$B,2,0)</f>
        <v>Amazon India</v>
      </c>
    </row>
    <row r="188" spans="1:20">
      <c r="A188" t="s">
        <v>275</v>
      </c>
      <c r="B188" s="1">
        <v>45603</v>
      </c>
      <c r="C188" t="s">
        <v>49</v>
      </c>
      <c r="D188" t="s">
        <v>119</v>
      </c>
      <c r="E188" t="s">
        <v>36</v>
      </c>
      <c r="F188">
        <v>3</v>
      </c>
      <c r="G188">
        <v>285000</v>
      </c>
      <c r="H188">
        <v>135000</v>
      </c>
      <c r="I188">
        <v>150000</v>
      </c>
      <c r="J188">
        <v>5</v>
      </c>
      <c r="K188" t="s">
        <v>25</v>
      </c>
      <c r="L188" t="s">
        <v>95</v>
      </c>
      <c r="M188" t="s">
        <v>32</v>
      </c>
      <c r="N188">
        <v>24</v>
      </c>
      <c r="O188">
        <f t="shared" si="8"/>
        <v>52.63</v>
      </c>
      <c r="P188">
        <f t="shared" si="9"/>
        <v>95000</v>
      </c>
      <c r="Q188" t="str">
        <f>VLOOKUP(C188,Customers!$A:$D,3,0)</f>
        <v>South</v>
      </c>
      <c r="R188" t="str">
        <f t="shared" si="10"/>
        <v>November</v>
      </c>
      <c r="S188">
        <f t="shared" si="11"/>
        <v>11</v>
      </c>
      <c r="T188" t="str">
        <f>VLOOKUP(C188,Customers!$A:$B,2,0)</f>
        <v>Myntra Fashion</v>
      </c>
    </row>
    <row r="189" spans="1:20">
      <c r="A189" t="s">
        <v>276</v>
      </c>
      <c r="B189" s="1">
        <v>45471</v>
      </c>
      <c r="C189" t="s">
        <v>39</v>
      </c>
      <c r="D189" t="s">
        <v>44</v>
      </c>
      <c r="E189" t="s">
        <v>45</v>
      </c>
      <c r="F189">
        <v>5</v>
      </c>
      <c r="G189">
        <v>1330000</v>
      </c>
      <c r="H189">
        <v>600000</v>
      </c>
      <c r="I189">
        <v>730000</v>
      </c>
      <c r="J189">
        <v>5</v>
      </c>
      <c r="K189" t="s">
        <v>30</v>
      </c>
      <c r="L189" t="s">
        <v>31</v>
      </c>
      <c r="M189" t="s">
        <v>27</v>
      </c>
      <c r="N189">
        <v>24</v>
      </c>
      <c r="O189">
        <f t="shared" si="8"/>
        <v>54.89</v>
      </c>
      <c r="P189">
        <f t="shared" si="9"/>
        <v>266000</v>
      </c>
      <c r="Q189" t="str">
        <f>VLOOKUP(C189,Customers!$A:$D,3,0)</f>
        <v>North</v>
      </c>
      <c r="R189" t="str">
        <f t="shared" si="10"/>
        <v>June</v>
      </c>
      <c r="S189">
        <f t="shared" si="11"/>
        <v>6</v>
      </c>
      <c r="T189" t="str">
        <f>VLOOKUP(C189,Customers!$A:$B,2,0)</f>
        <v>Amazon India</v>
      </c>
    </row>
    <row r="190" spans="1:20">
      <c r="A190" t="s">
        <v>277</v>
      </c>
      <c r="B190" s="1">
        <v>45478</v>
      </c>
      <c r="C190" t="s">
        <v>39</v>
      </c>
      <c r="D190" t="s">
        <v>101</v>
      </c>
      <c r="E190" t="s">
        <v>62</v>
      </c>
      <c r="F190">
        <v>1</v>
      </c>
      <c r="G190">
        <v>80000</v>
      </c>
      <c r="H190">
        <v>35000</v>
      </c>
      <c r="I190">
        <v>45000</v>
      </c>
      <c r="J190">
        <v>0</v>
      </c>
      <c r="K190" t="s">
        <v>25</v>
      </c>
      <c r="L190" t="s">
        <v>47</v>
      </c>
      <c r="M190" t="s">
        <v>27</v>
      </c>
      <c r="N190">
        <v>6</v>
      </c>
      <c r="O190">
        <f t="shared" si="8"/>
        <v>56.25</v>
      </c>
      <c r="P190">
        <f t="shared" si="9"/>
        <v>80000</v>
      </c>
      <c r="Q190" t="str">
        <f>VLOOKUP(C190,Customers!$A:$D,3,0)</f>
        <v>North</v>
      </c>
      <c r="R190" t="str">
        <f t="shared" si="10"/>
        <v>July</v>
      </c>
      <c r="S190">
        <f t="shared" si="11"/>
        <v>7</v>
      </c>
      <c r="T190" t="str">
        <f>VLOOKUP(C190,Customers!$A:$B,2,0)</f>
        <v>Amazon India</v>
      </c>
    </row>
    <row r="191" spans="1:20">
      <c r="A191" t="s">
        <v>278</v>
      </c>
      <c r="B191" s="1">
        <v>45644</v>
      </c>
      <c r="C191" t="s">
        <v>115</v>
      </c>
      <c r="D191" t="s">
        <v>44</v>
      </c>
      <c r="E191" t="s">
        <v>45</v>
      </c>
      <c r="F191">
        <v>4</v>
      </c>
      <c r="G191">
        <v>1008000</v>
      </c>
      <c r="H191">
        <v>480000</v>
      </c>
      <c r="I191">
        <v>528000</v>
      </c>
      <c r="J191">
        <v>10</v>
      </c>
      <c r="K191" t="s">
        <v>30</v>
      </c>
      <c r="L191" t="s">
        <v>26</v>
      </c>
      <c r="M191" t="s">
        <v>32</v>
      </c>
      <c r="N191">
        <v>24</v>
      </c>
      <c r="O191">
        <f t="shared" si="8"/>
        <v>52.38</v>
      </c>
      <c r="P191">
        <f t="shared" si="9"/>
        <v>252000</v>
      </c>
      <c r="Q191" t="str">
        <f>VLOOKUP(C191,Customers!$A:$D,3,0)</f>
        <v>North</v>
      </c>
      <c r="R191" t="str">
        <f t="shared" si="10"/>
        <v>December</v>
      </c>
      <c r="S191">
        <f t="shared" si="11"/>
        <v>12</v>
      </c>
      <c r="T191" t="str">
        <f>VLOOKUP(C191,Customers!$A:$B,2,0)</f>
        <v>Paytm Services</v>
      </c>
    </row>
    <row r="192" spans="1:20">
      <c r="A192" t="s">
        <v>279</v>
      </c>
      <c r="B192" s="1">
        <v>45481</v>
      </c>
      <c r="C192" t="s">
        <v>34</v>
      </c>
      <c r="D192" t="s">
        <v>23</v>
      </c>
      <c r="E192" t="s">
        <v>24</v>
      </c>
      <c r="F192">
        <v>5</v>
      </c>
      <c r="G192">
        <v>600000</v>
      </c>
      <c r="H192">
        <v>250000</v>
      </c>
      <c r="I192">
        <v>350000</v>
      </c>
      <c r="J192">
        <v>0</v>
      </c>
      <c r="K192" t="s">
        <v>25</v>
      </c>
      <c r="L192" t="s">
        <v>70</v>
      </c>
      <c r="M192" t="s">
        <v>59</v>
      </c>
      <c r="N192">
        <v>12</v>
      </c>
      <c r="O192">
        <f t="shared" si="8"/>
        <v>58.33</v>
      </c>
      <c r="P192">
        <f t="shared" si="9"/>
        <v>120000</v>
      </c>
      <c r="Q192" t="str">
        <f>VLOOKUP(C192,Customers!$A:$D,3,0)</f>
        <v>North</v>
      </c>
      <c r="R192" t="str">
        <f t="shared" si="10"/>
        <v>July</v>
      </c>
      <c r="S192">
        <f t="shared" si="11"/>
        <v>7</v>
      </c>
      <c r="T192" t="str">
        <f>VLOOKUP(C192,Customers!$A:$B,2,0)</f>
        <v>Snapdeal Ltd</v>
      </c>
    </row>
    <row r="193" spans="1:20">
      <c r="A193" t="s">
        <v>280</v>
      </c>
      <c r="B193" s="1">
        <v>45576</v>
      </c>
      <c r="C193" t="s">
        <v>22</v>
      </c>
      <c r="D193" t="s">
        <v>101</v>
      </c>
      <c r="E193" t="s">
        <v>62</v>
      </c>
      <c r="F193">
        <v>4</v>
      </c>
      <c r="G193">
        <v>288000</v>
      </c>
      <c r="H193">
        <v>140000</v>
      </c>
      <c r="I193">
        <v>148000</v>
      </c>
      <c r="J193">
        <v>10</v>
      </c>
      <c r="K193" t="s">
        <v>30</v>
      </c>
      <c r="L193" t="s">
        <v>63</v>
      </c>
      <c r="M193" t="s">
        <v>27</v>
      </c>
      <c r="N193">
        <v>12</v>
      </c>
      <c r="O193">
        <f t="shared" si="8"/>
        <v>51.39</v>
      </c>
      <c r="P193">
        <f t="shared" si="9"/>
        <v>72000</v>
      </c>
      <c r="Q193" t="str">
        <f>VLOOKUP(C193,Customers!$A:$D,3,0)</f>
        <v>South</v>
      </c>
      <c r="R193" t="str">
        <f t="shared" si="10"/>
        <v>October</v>
      </c>
      <c r="S193">
        <f t="shared" si="11"/>
        <v>10</v>
      </c>
      <c r="T193" t="str">
        <f>VLOOKUP(C193,Customers!$A:$B,2,0)</f>
        <v>Infosys Ltd</v>
      </c>
    </row>
    <row r="194" spans="1:20">
      <c r="A194" t="s">
        <v>281</v>
      </c>
      <c r="B194" s="1">
        <v>45425</v>
      </c>
      <c r="C194" t="s">
        <v>73</v>
      </c>
      <c r="D194" t="s">
        <v>67</v>
      </c>
      <c r="E194" t="s">
        <v>54</v>
      </c>
      <c r="F194">
        <v>3</v>
      </c>
      <c r="G194">
        <v>224400</v>
      </c>
      <c r="H194">
        <v>114000</v>
      </c>
      <c r="I194">
        <v>110400</v>
      </c>
      <c r="J194">
        <v>15</v>
      </c>
      <c r="K194" t="s">
        <v>30</v>
      </c>
      <c r="L194" t="s">
        <v>58</v>
      </c>
      <c r="M194" t="s">
        <v>27</v>
      </c>
      <c r="N194">
        <v>6</v>
      </c>
      <c r="O194">
        <f t="shared" si="8"/>
        <v>49.2</v>
      </c>
      <c r="P194">
        <f t="shared" si="9"/>
        <v>74800</v>
      </c>
      <c r="Q194" t="str">
        <f>VLOOKUP(C194,Customers!$A:$D,3,0)</f>
        <v>West</v>
      </c>
      <c r="R194" t="str">
        <f t="shared" si="10"/>
        <v>May</v>
      </c>
      <c r="S194">
        <f t="shared" si="11"/>
        <v>5</v>
      </c>
      <c r="T194" t="str">
        <f>VLOOKUP(C194,Customers!$A:$B,2,0)</f>
        <v>ICICI Tech</v>
      </c>
    </row>
    <row r="195" spans="1:20">
      <c r="A195" t="s">
        <v>282</v>
      </c>
      <c r="B195" s="1">
        <v>45329</v>
      </c>
      <c r="C195" t="s">
        <v>94</v>
      </c>
      <c r="D195" t="s">
        <v>40</v>
      </c>
      <c r="E195" t="s">
        <v>41</v>
      </c>
      <c r="F195">
        <v>1</v>
      </c>
      <c r="G195">
        <v>28000</v>
      </c>
      <c r="H195">
        <v>15000</v>
      </c>
      <c r="I195">
        <v>13000</v>
      </c>
      <c r="J195">
        <v>20</v>
      </c>
      <c r="K195" t="s">
        <v>18</v>
      </c>
      <c r="L195" t="s">
        <v>70</v>
      </c>
      <c r="M195" t="s">
        <v>37</v>
      </c>
      <c r="N195">
        <v>3</v>
      </c>
      <c r="O195">
        <f t="shared" ref="O195:O258" si="12">ROUND((I195/G195)*100,2)</f>
        <v>46.43</v>
      </c>
      <c r="P195">
        <f t="shared" ref="P195:P258" si="13">ROUND(G195/F195,2)</f>
        <v>28000</v>
      </c>
      <c r="Q195" t="str">
        <f>VLOOKUP(C195,Customers!$A:$D,3,0)</f>
        <v>South</v>
      </c>
      <c r="R195" t="str">
        <f t="shared" ref="R195:R258" si="14">TEXT(B195,"MMMM")</f>
        <v>February</v>
      </c>
      <c r="S195">
        <f t="shared" ref="S195:S258" si="15">MONTH(B195)</f>
        <v>2</v>
      </c>
      <c r="T195" t="str">
        <f>VLOOKUP(C195,Customers!$A:$B,2,0)</f>
        <v>PhonePe Pay</v>
      </c>
    </row>
    <row r="196" spans="1:20">
      <c r="A196" t="s">
        <v>283</v>
      </c>
      <c r="B196" s="1">
        <v>45573</v>
      </c>
      <c r="C196" t="s">
        <v>94</v>
      </c>
      <c r="D196" t="s">
        <v>119</v>
      </c>
      <c r="E196" t="s">
        <v>36</v>
      </c>
      <c r="F196">
        <v>2</v>
      </c>
      <c r="G196">
        <v>170000</v>
      </c>
      <c r="H196">
        <v>90000</v>
      </c>
      <c r="I196">
        <v>80000</v>
      </c>
      <c r="J196">
        <v>15</v>
      </c>
      <c r="K196" t="s">
        <v>18</v>
      </c>
      <c r="L196" t="s">
        <v>51</v>
      </c>
      <c r="M196" t="s">
        <v>37</v>
      </c>
      <c r="N196">
        <v>6</v>
      </c>
      <c r="O196">
        <f t="shared" si="12"/>
        <v>47.06</v>
      </c>
      <c r="P196">
        <f t="shared" si="13"/>
        <v>85000</v>
      </c>
      <c r="Q196" t="str">
        <f>VLOOKUP(C196,Customers!$A:$D,3,0)</f>
        <v>South</v>
      </c>
      <c r="R196" t="str">
        <f t="shared" si="14"/>
        <v>October</v>
      </c>
      <c r="S196">
        <f t="shared" si="15"/>
        <v>10</v>
      </c>
      <c r="T196" t="str">
        <f>VLOOKUP(C196,Customers!$A:$B,2,0)</f>
        <v>PhonePe Pay</v>
      </c>
    </row>
    <row r="197" spans="1:20">
      <c r="A197" t="s">
        <v>284</v>
      </c>
      <c r="B197" s="1">
        <v>45354</v>
      </c>
      <c r="C197" t="s">
        <v>109</v>
      </c>
      <c r="D197" t="s">
        <v>61</v>
      </c>
      <c r="E197" t="s">
        <v>62</v>
      </c>
      <c r="F197">
        <v>2</v>
      </c>
      <c r="G197">
        <v>352000</v>
      </c>
      <c r="H197">
        <v>180000</v>
      </c>
      <c r="I197">
        <v>172000</v>
      </c>
      <c r="J197">
        <v>20</v>
      </c>
      <c r="K197" t="s">
        <v>30</v>
      </c>
      <c r="L197" t="s">
        <v>31</v>
      </c>
      <c r="M197" t="s">
        <v>37</v>
      </c>
      <c r="N197">
        <v>12</v>
      </c>
      <c r="O197">
        <f t="shared" si="12"/>
        <v>48.86</v>
      </c>
      <c r="P197">
        <f t="shared" si="13"/>
        <v>176000</v>
      </c>
      <c r="Q197" t="str">
        <f>VLOOKUP(C197,Customers!$A:$D,3,0)</f>
        <v>North</v>
      </c>
      <c r="R197" t="str">
        <f t="shared" si="14"/>
        <v>March</v>
      </c>
      <c r="S197">
        <f t="shared" si="15"/>
        <v>3</v>
      </c>
      <c r="T197" t="str">
        <f>VLOOKUP(C197,Customers!$A:$B,2,0)</f>
        <v>MakeMyTrip</v>
      </c>
    </row>
    <row r="198" spans="1:20">
      <c r="A198" t="s">
        <v>285</v>
      </c>
      <c r="B198" s="1">
        <v>45531</v>
      </c>
      <c r="C198" t="s">
        <v>91</v>
      </c>
      <c r="D198" t="s">
        <v>61</v>
      </c>
      <c r="E198" t="s">
        <v>62</v>
      </c>
      <c r="F198">
        <v>5</v>
      </c>
      <c r="G198">
        <v>1100000</v>
      </c>
      <c r="H198">
        <v>450000</v>
      </c>
      <c r="I198">
        <v>650000</v>
      </c>
      <c r="J198">
        <v>0</v>
      </c>
      <c r="K198" t="s">
        <v>30</v>
      </c>
      <c r="L198" t="s">
        <v>97</v>
      </c>
      <c r="M198" t="s">
        <v>59</v>
      </c>
      <c r="N198">
        <v>24</v>
      </c>
      <c r="O198">
        <f t="shared" si="12"/>
        <v>59.09</v>
      </c>
      <c r="P198">
        <f t="shared" si="13"/>
        <v>220000</v>
      </c>
      <c r="Q198" t="str">
        <f>VLOOKUP(C198,Customers!$A:$D,3,0)</f>
        <v>South</v>
      </c>
      <c r="R198" t="str">
        <f t="shared" si="14"/>
        <v>August</v>
      </c>
      <c r="S198">
        <f t="shared" si="15"/>
        <v>8</v>
      </c>
      <c r="T198" t="str">
        <f>VLOOKUP(C198,Customers!$A:$B,2,0)</f>
        <v>CRED Fintech</v>
      </c>
    </row>
    <row r="199" spans="1:20">
      <c r="A199" t="s">
        <v>286</v>
      </c>
      <c r="B199" s="1">
        <v>45561</v>
      </c>
      <c r="C199" t="s">
        <v>29</v>
      </c>
      <c r="D199" t="s">
        <v>82</v>
      </c>
      <c r="E199" t="s">
        <v>54</v>
      </c>
      <c r="F199">
        <v>1</v>
      </c>
      <c r="G199">
        <v>145000</v>
      </c>
      <c r="H199">
        <v>60000</v>
      </c>
      <c r="I199">
        <v>85000</v>
      </c>
      <c r="J199">
        <v>0</v>
      </c>
      <c r="K199" t="s">
        <v>30</v>
      </c>
      <c r="L199" t="s">
        <v>19</v>
      </c>
      <c r="M199" t="s">
        <v>59</v>
      </c>
      <c r="N199">
        <v>24</v>
      </c>
      <c r="O199">
        <f t="shared" si="12"/>
        <v>58.62</v>
      </c>
      <c r="P199">
        <f t="shared" si="13"/>
        <v>145000</v>
      </c>
      <c r="Q199" t="str">
        <f>VLOOKUP(C199,Customers!$A:$D,3,0)</f>
        <v>South</v>
      </c>
      <c r="R199" t="str">
        <f t="shared" si="14"/>
        <v>September</v>
      </c>
      <c r="S199">
        <f t="shared" si="15"/>
        <v>9</v>
      </c>
      <c r="T199" t="str">
        <f>VLOOKUP(C199,Customers!$A:$B,2,0)</f>
        <v>Meesho Network</v>
      </c>
    </row>
    <row r="200" spans="1:20">
      <c r="A200" t="s">
        <v>287</v>
      </c>
      <c r="B200" s="1">
        <v>45640</v>
      </c>
      <c r="C200" t="s">
        <v>88</v>
      </c>
      <c r="D200" t="s">
        <v>53</v>
      </c>
      <c r="E200" t="s">
        <v>54</v>
      </c>
      <c r="F200">
        <v>5</v>
      </c>
      <c r="G200">
        <v>1000000</v>
      </c>
      <c r="H200">
        <v>425000</v>
      </c>
      <c r="I200">
        <v>575000</v>
      </c>
      <c r="J200">
        <v>0</v>
      </c>
      <c r="K200" t="s">
        <v>30</v>
      </c>
      <c r="L200" t="s">
        <v>95</v>
      </c>
      <c r="M200" t="s">
        <v>20</v>
      </c>
      <c r="N200">
        <v>3</v>
      </c>
      <c r="O200">
        <f t="shared" si="12"/>
        <v>57.5</v>
      </c>
      <c r="P200">
        <f t="shared" si="13"/>
        <v>200000</v>
      </c>
      <c r="Q200" t="str">
        <f>VLOOKUP(C200,Customers!$A:$D,3,0)</f>
        <v>West</v>
      </c>
      <c r="R200" t="str">
        <f t="shared" si="14"/>
        <v>December</v>
      </c>
      <c r="S200">
        <f t="shared" si="15"/>
        <v>12</v>
      </c>
      <c r="T200" t="str">
        <f>VLOOKUP(C200,Customers!$A:$B,2,0)</f>
        <v>Reliance Digital</v>
      </c>
    </row>
    <row r="201" spans="1:20">
      <c r="A201" t="s">
        <v>288</v>
      </c>
      <c r="B201" s="1">
        <v>45355</v>
      </c>
      <c r="C201" t="s">
        <v>173</v>
      </c>
      <c r="D201" t="s">
        <v>101</v>
      </c>
      <c r="E201" t="s">
        <v>62</v>
      </c>
      <c r="F201">
        <v>2</v>
      </c>
      <c r="G201">
        <v>152000</v>
      </c>
      <c r="H201">
        <v>70000</v>
      </c>
      <c r="I201">
        <v>82000</v>
      </c>
      <c r="J201">
        <v>5</v>
      </c>
      <c r="K201" t="s">
        <v>18</v>
      </c>
      <c r="L201" t="s">
        <v>58</v>
      </c>
      <c r="M201" t="s">
        <v>37</v>
      </c>
      <c r="N201">
        <v>12</v>
      </c>
      <c r="O201">
        <f t="shared" si="12"/>
        <v>53.95</v>
      </c>
      <c r="P201">
        <f t="shared" si="13"/>
        <v>76000</v>
      </c>
      <c r="Q201" t="str">
        <f>VLOOKUP(C201,Customers!$A:$D,3,0)</f>
        <v>South</v>
      </c>
      <c r="R201" t="str">
        <f t="shared" si="14"/>
        <v>March</v>
      </c>
      <c r="S201">
        <f t="shared" si="15"/>
        <v>3</v>
      </c>
      <c r="T201" t="str">
        <f>VLOOKUP(C201,Customers!$A:$B,2,0)</f>
        <v>Byju's Learning</v>
      </c>
    </row>
    <row r="202" spans="1:20">
      <c r="A202" t="s">
        <v>289</v>
      </c>
      <c r="B202" s="1">
        <v>45643</v>
      </c>
      <c r="C202" t="s">
        <v>91</v>
      </c>
      <c r="D202" t="s">
        <v>50</v>
      </c>
      <c r="E202" t="s">
        <v>17</v>
      </c>
      <c r="F202">
        <v>2</v>
      </c>
      <c r="G202">
        <v>85000</v>
      </c>
      <c r="H202">
        <v>40000</v>
      </c>
      <c r="I202">
        <v>45000</v>
      </c>
      <c r="J202">
        <v>15</v>
      </c>
      <c r="K202" t="s">
        <v>30</v>
      </c>
      <c r="L202" t="s">
        <v>26</v>
      </c>
      <c r="M202" t="s">
        <v>20</v>
      </c>
      <c r="N202">
        <v>3</v>
      </c>
      <c r="O202">
        <f t="shared" si="12"/>
        <v>52.94</v>
      </c>
      <c r="P202">
        <f t="shared" si="13"/>
        <v>42500</v>
      </c>
      <c r="Q202" t="str">
        <f>VLOOKUP(C202,Customers!$A:$D,3,0)</f>
        <v>South</v>
      </c>
      <c r="R202" t="str">
        <f t="shared" si="14"/>
        <v>December</v>
      </c>
      <c r="S202">
        <f t="shared" si="15"/>
        <v>12</v>
      </c>
      <c r="T202" t="str">
        <f>VLOOKUP(C202,Customers!$A:$B,2,0)</f>
        <v>CRED Fintech</v>
      </c>
    </row>
    <row r="203" spans="1:20">
      <c r="A203" t="s">
        <v>290</v>
      </c>
      <c r="B203" s="1">
        <v>45549</v>
      </c>
      <c r="C203" t="s">
        <v>106</v>
      </c>
      <c r="D203" t="s">
        <v>82</v>
      </c>
      <c r="E203" t="s">
        <v>54</v>
      </c>
      <c r="F203">
        <v>2</v>
      </c>
      <c r="G203">
        <v>290000</v>
      </c>
      <c r="H203">
        <v>120000</v>
      </c>
      <c r="I203">
        <v>170000</v>
      </c>
      <c r="J203">
        <v>0</v>
      </c>
      <c r="K203" t="s">
        <v>18</v>
      </c>
      <c r="L203" t="s">
        <v>26</v>
      </c>
      <c r="M203" t="s">
        <v>20</v>
      </c>
      <c r="N203">
        <v>12</v>
      </c>
      <c r="O203">
        <f t="shared" si="12"/>
        <v>58.62</v>
      </c>
      <c r="P203">
        <f t="shared" si="13"/>
        <v>145000</v>
      </c>
      <c r="Q203" t="str">
        <f>VLOOKUP(C203,Customers!$A:$D,3,0)</f>
        <v>North</v>
      </c>
      <c r="R203" t="str">
        <f t="shared" si="14"/>
        <v>September</v>
      </c>
      <c r="S203">
        <f t="shared" si="15"/>
        <v>9</v>
      </c>
      <c r="T203" t="str">
        <f>VLOOKUP(C203,Customers!$A:$B,2,0)</f>
        <v>Urban Company</v>
      </c>
    </row>
    <row r="204" spans="1:20">
      <c r="A204" t="s">
        <v>291</v>
      </c>
      <c r="B204" s="1">
        <v>45565</v>
      </c>
      <c r="C204" t="s">
        <v>56</v>
      </c>
      <c r="D204" t="s">
        <v>86</v>
      </c>
      <c r="E204" t="s">
        <v>24</v>
      </c>
      <c r="F204">
        <v>5</v>
      </c>
      <c r="G204">
        <v>665000</v>
      </c>
      <c r="H204">
        <v>300000</v>
      </c>
      <c r="I204">
        <v>365000</v>
      </c>
      <c r="J204">
        <v>5</v>
      </c>
      <c r="K204" t="s">
        <v>18</v>
      </c>
      <c r="L204" t="s">
        <v>58</v>
      </c>
      <c r="M204" t="s">
        <v>20</v>
      </c>
      <c r="N204">
        <v>24</v>
      </c>
      <c r="O204">
        <f t="shared" si="12"/>
        <v>54.89</v>
      </c>
      <c r="P204">
        <f t="shared" si="13"/>
        <v>133000</v>
      </c>
      <c r="Q204" t="str">
        <f>VLOOKUP(C204,Customers!$A:$D,3,0)</f>
        <v>South</v>
      </c>
      <c r="R204" t="str">
        <f t="shared" si="14"/>
        <v>September</v>
      </c>
      <c r="S204">
        <f t="shared" si="15"/>
        <v>9</v>
      </c>
      <c r="T204" t="str">
        <f>VLOOKUP(C204,Customers!$A:$B,2,0)</f>
        <v>Wipro Technologies</v>
      </c>
    </row>
    <row r="205" spans="1:20">
      <c r="A205" t="s">
        <v>292</v>
      </c>
      <c r="B205" s="1">
        <v>45608</v>
      </c>
      <c r="C205" t="s">
        <v>133</v>
      </c>
      <c r="D205" t="s">
        <v>53</v>
      </c>
      <c r="E205" t="s">
        <v>54</v>
      </c>
      <c r="F205">
        <v>3</v>
      </c>
      <c r="G205">
        <v>510000</v>
      </c>
      <c r="H205">
        <v>255000</v>
      </c>
      <c r="I205">
        <v>255000</v>
      </c>
      <c r="J205">
        <v>15</v>
      </c>
      <c r="K205" t="s">
        <v>30</v>
      </c>
      <c r="L205" t="s">
        <v>47</v>
      </c>
      <c r="M205" t="s">
        <v>32</v>
      </c>
      <c r="N205">
        <v>24</v>
      </c>
      <c r="O205">
        <f t="shared" si="12"/>
        <v>50</v>
      </c>
      <c r="P205">
        <f t="shared" si="13"/>
        <v>170000</v>
      </c>
      <c r="Q205" t="str">
        <f>VLOOKUP(C205,Customers!$A:$D,3,0)</f>
        <v>South</v>
      </c>
      <c r="R205" t="str">
        <f t="shared" si="14"/>
        <v>November</v>
      </c>
      <c r="S205">
        <f t="shared" si="15"/>
        <v>11</v>
      </c>
      <c r="T205" t="str">
        <f>VLOOKUP(C205,Customers!$A:$B,2,0)</f>
        <v>Razorpay Tech</v>
      </c>
    </row>
    <row r="206" spans="1:20">
      <c r="A206" t="s">
        <v>293</v>
      </c>
      <c r="B206" s="1">
        <v>45444</v>
      </c>
      <c r="C206" t="s">
        <v>167</v>
      </c>
      <c r="D206" t="s">
        <v>86</v>
      </c>
      <c r="E206" t="s">
        <v>24</v>
      </c>
      <c r="F206">
        <v>2</v>
      </c>
      <c r="G206">
        <v>266000</v>
      </c>
      <c r="H206">
        <v>120000</v>
      </c>
      <c r="I206">
        <v>146000</v>
      </c>
      <c r="J206">
        <v>5</v>
      </c>
      <c r="K206" t="s">
        <v>30</v>
      </c>
      <c r="L206" t="s">
        <v>47</v>
      </c>
      <c r="M206" t="s">
        <v>59</v>
      </c>
      <c r="N206">
        <v>6</v>
      </c>
      <c r="O206">
        <f t="shared" si="12"/>
        <v>54.89</v>
      </c>
      <c r="P206">
        <f t="shared" si="13"/>
        <v>133000</v>
      </c>
      <c r="Q206" t="str">
        <f>VLOOKUP(C206,Customers!$A:$D,3,0)</f>
        <v>South</v>
      </c>
      <c r="R206" t="str">
        <f t="shared" si="14"/>
        <v>June</v>
      </c>
      <c r="S206">
        <f t="shared" si="15"/>
        <v>6</v>
      </c>
      <c r="T206" t="str">
        <f>VLOOKUP(C206,Customers!$A:$B,2,0)</f>
        <v>Flipkart India</v>
      </c>
    </row>
    <row r="207" spans="1:20">
      <c r="A207" t="s">
        <v>294</v>
      </c>
      <c r="B207" s="1">
        <v>45466</v>
      </c>
      <c r="C207" t="s">
        <v>104</v>
      </c>
      <c r="D207" t="s">
        <v>35</v>
      </c>
      <c r="E207" t="s">
        <v>36</v>
      </c>
      <c r="F207">
        <v>3</v>
      </c>
      <c r="G207">
        <v>185250</v>
      </c>
      <c r="H207">
        <v>84000</v>
      </c>
      <c r="I207">
        <v>101250</v>
      </c>
      <c r="J207">
        <v>5</v>
      </c>
      <c r="K207" t="s">
        <v>30</v>
      </c>
      <c r="L207" t="s">
        <v>70</v>
      </c>
      <c r="M207" t="s">
        <v>20</v>
      </c>
      <c r="N207">
        <v>3</v>
      </c>
      <c r="O207">
        <f t="shared" si="12"/>
        <v>54.66</v>
      </c>
      <c r="P207">
        <f t="shared" si="13"/>
        <v>61750</v>
      </c>
      <c r="Q207" t="str">
        <f>VLOOKUP(C207,Customers!$A:$D,3,0)</f>
        <v>South</v>
      </c>
      <c r="R207" t="str">
        <f t="shared" si="14"/>
        <v>June</v>
      </c>
      <c r="S207">
        <f t="shared" si="15"/>
        <v>6</v>
      </c>
      <c r="T207" t="str">
        <f>VLOOKUP(C207,Customers!$A:$B,2,0)</f>
        <v>Ola Cabs</v>
      </c>
    </row>
    <row r="208" spans="1:20">
      <c r="A208" t="s">
        <v>295</v>
      </c>
      <c r="B208" s="1">
        <v>45577</v>
      </c>
      <c r="C208" t="s">
        <v>15</v>
      </c>
      <c r="D208" t="s">
        <v>40</v>
      </c>
      <c r="E208" t="s">
        <v>41</v>
      </c>
      <c r="F208">
        <v>2</v>
      </c>
      <c r="G208">
        <v>70000</v>
      </c>
      <c r="H208">
        <v>30000</v>
      </c>
      <c r="I208">
        <v>40000</v>
      </c>
      <c r="J208">
        <v>0</v>
      </c>
      <c r="K208" t="s">
        <v>30</v>
      </c>
      <c r="L208" t="s">
        <v>31</v>
      </c>
      <c r="M208" t="s">
        <v>37</v>
      </c>
      <c r="N208">
        <v>24</v>
      </c>
      <c r="O208">
        <f t="shared" si="12"/>
        <v>57.14</v>
      </c>
      <c r="P208">
        <f t="shared" si="13"/>
        <v>35000</v>
      </c>
      <c r="Q208" t="str">
        <f>VLOOKUP(C208,Customers!$A:$D,3,0)</f>
        <v>South</v>
      </c>
      <c r="R208" t="str">
        <f t="shared" si="14"/>
        <v>October</v>
      </c>
      <c r="S208">
        <f t="shared" si="15"/>
        <v>10</v>
      </c>
      <c r="T208" t="str">
        <f>VLOOKUP(C208,Customers!$A:$B,2,0)</f>
        <v>Swiggy Inc</v>
      </c>
    </row>
    <row r="209" spans="1:20">
      <c r="A209" t="s">
        <v>296</v>
      </c>
      <c r="B209" s="1">
        <v>45607</v>
      </c>
      <c r="C209" t="s">
        <v>43</v>
      </c>
      <c r="D209" t="s">
        <v>101</v>
      </c>
      <c r="E209" t="s">
        <v>62</v>
      </c>
      <c r="F209">
        <v>3</v>
      </c>
      <c r="G209">
        <v>216000</v>
      </c>
      <c r="H209">
        <v>105000</v>
      </c>
      <c r="I209">
        <v>111000</v>
      </c>
      <c r="J209">
        <v>10</v>
      </c>
      <c r="K209" t="s">
        <v>18</v>
      </c>
      <c r="L209" t="s">
        <v>70</v>
      </c>
      <c r="M209" t="s">
        <v>32</v>
      </c>
      <c r="N209">
        <v>6</v>
      </c>
      <c r="O209">
        <f t="shared" si="12"/>
        <v>51.39</v>
      </c>
      <c r="P209">
        <f t="shared" si="13"/>
        <v>72000</v>
      </c>
      <c r="Q209" t="str">
        <f>VLOOKUP(C209,Customers!$A:$D,3,0)</f>
        <v>South</v>
      </c>
      <c r="R209" t="str">
        <f t="shared" si="14"/>
        <v>November</v>
      </c>
      <c r="S209">
        <f t="shared" si="15"/>
        <v>11</v>
      </c>
      <c r="T209" t="str">
        <f>VLOOKUP(C209,Customers!$A:$B,2,0)</f>
        <v>Groww Invest</v>
      </c>
    </row>
    <row r="210" spans="1:20">
      <c r="A210" t="s">
        <v>297</v>
      </c>
      <c r="B210" s="1">
        <v>45547</v>
      </c>
      <c r="C210" t="s">
        <v>79</v>
      </c>
      <c r="D210" t="s">
        <v>76</v>
      </c>
      <c r="E210" t="s">
        <v>41</v>
      </c>
      <c r="F210">
        <v>3</v>
      </c>
      <c r="G210">
        <v>119700</v>
      </c>
      <c r="H210">
        <v>54000</v>
      </c>
      <c r="I210">
        <v>65700</v>
      </c>
      <c r="J210">
        <v>5</v>
      </c>
      <c r="K210" t="s">
        <v>30</v>
      </c>
      <c r="L210" t="s">
        <v>19</v>
      </c>
      <c r="M210" t="s">
        <v>59</v>
      </c>
      <c r="N210">
        <v>24</v>
      </c>
      <c r="O210">
        <f t="shared" si="12"/>
        <v>54.89</v>
      </c>
      <c r="P210">
        <f t="shared" si="13"/>
        <v>39900</v>
      </c>
      <c r="Q210" t="str">
        <f>VLOOKUP(C210,Customers!$A:$D,3,0)</f>
        <v>West</v>
      </c>
      <c r="R210" t="str">
        <f t="shared" si="14"/>
        <v>September</v>
      </c>
      <c r="S210">
        <f t="shared" si="15"/>
        <v>9</v>
      </c>
      <c r="T210" t="str">
        <f>VLOOKUP(C210,Customers!$A:$B,2,0)</f>
        <v>Dream11 Sports</v>
      </c>
    </row>
    <row r="211" spans="1:20">
      <c r="A211" t="s">
        <v>298</v>
      </c>
      <c r="B211" s="1">
        <v>45607</v>
      </c>
      <c r="C211" t="s">
        <v>99</v>
      </c>
      <c r="D211" t="s">
        <v>86</v>
      </c>
      <c r="E211" t="s">
        <v>24</v>
      </c>
      <c r="F211">
        <v>3</v>
      </c>
      <c r="G211">
        <v>399000</v>
      </c>
      <c r="H211">
        <v>180000</v>
      </c>
      <c r="I211">
        <v>219000</v>
      </c>
      <c r="J211">
        <v>5</v>
      </c>
      <c r="K211" t="s">
        <v>25</v>
      </c>
      <c r="L211" t="s">
        <v>47</v>
      </c>
      <c r="M211" t="s">
        <v>37</v>
      </c>
      <c r="N211">
        <v>3</v>
      </c>
      <c r="O211">
        <f t="shared" si="12"/>
        <v>54.89</v>
      </c>
      <c r="P211">
        <f t="shared" si="13"/>
        <v>133000</v>
      </c>
      <c r="Q211" t="str">
        <f>VLOOKUP(C211,Customers!$A:$D,3,0)</f>
        <v>West</v>
      </c>
      <c r="R211" t="str">
        <f t="shared" si="14"/>
        <v>November</v>
      </c>
      <c r="S211">
        <f t="shared" si="15"/>
        <v>11</v>
      </c>
      <c r="T211" t="str">
        <f>VLOOKUP(C211,Customers!$A:$B,2,0)</f>
        <v>Tata Consultancy</v>
      </c>
    </row>
    <row r="212" spans="1:20">
      <c r="A212" t="s">
        <v>299</v>
      </c>
      <c r="B212" s="1">
        <v>45347</v>
      </c>
      <c r="C212" t="s">
        <v>94</v>
      </c>
      <c r="D212" t="s">
        <v>50</v>
      </c>
      <c r="E212" t="s">
        <v>17</v>
      </c>
      <c r="F212">
        <v>3</v>
      </c>
      <c r="G212">
        <v>120000</v>
      </c>
      <c r="H212">
        <v>60000</v>
      </c>
      <c r="I212">
        <v>60000</v>
      </c>
      <c r="J212">
        <v>20</v>
      </c>
      <c r="K212" t="s">
        <v>30</v>
      </c>
      <c r="L212" t="s">
        <v>70</v>
      </c>
      <c r="M212" t="s">
        <v>27</v>
      </c>
      <c r="N212">
        <v>24</v>
      </c>
      <c r="O212">
        <f t="shared" si="12"/>
        <v>50</v>
      </c>
      <c r="P212">
        <f t="shared" si="13"/>
        <v>40000</v>
      </c>
      <c r="Q212" t="str">
        <f>VLOOKUP(C212,Customers!$A:$D,3,0)</f>
        <v>South</v>
      </c>
      <c r="R212" t="str">
        <f t="shared" si="14"/>
        <v>February</v>
      </c>
      <c r="S212">
        <f t="shared" si="15"/>
        <v>2</v>
      </c>
      <c r="T212" t="str">
        <f>VLOOKUP(C212,Customers!$A:$B,2,0)</f>
        <v>PhonePe Pay</v>
      </c>
    </row>
    <row r="213" spans="1:20">
      <c r="A213" t="s">
        <v>300</v>
      </c>
      <c r="B213" s="1">
        <v>45318</v>
      </c>
      <c r="C213" t="s">
        <v>73</v>
      </c>
      <c r="D213" t="s">
        <v>44</v>
      </c>
      <c r="E213" t="s">
        <v>45</v>
      </c>
      <c r="F213">
        <v>5</v>
      </c>
      <c r="G213">
        <v>1330000</v>
      </c>
      <c r="H213">
        <v>600000</v>
      </c>
      <c r="I213">
        <v>730000</v>
      </c>
      <c r="J213">
        <v>5</v>
      </c>
      <c r="K213" t="s">
        <v>30</v>
      </c>
      <c r="L213" t="s">
        <v>95</v>
      </c>
      <c r="M213" t="s">
        <v>20</v>
      </c>
      <c r="N213">
        <v>24</v>
      </c>
      <c r="O213">
        <f t="shared" si="12"/>
        <v>54.89</v>
      </c>
      <c r="P213">
        <f t="shared" si="13"/>
        <v>266000</v>
      </c>
      <c r="Q213" t="str">
        <f>VLOOKUP(C213,Customers!$A:$D,3,0)</f>
        <v>West</v>
      </c>
      <c r="R213" t="str">
        <f t="shared" si="14"/>
        <v>January</v>
      </c>
      <c r="S213">
        <f t="shared" si="15"/>
        <v>1</v>
      </c>
      <c r="T213" t="str">
        <f>VLOOKUP(C213,Customers!$A:$B,2,0)</f>
        <v>ICICI Tech</v>
      </c>
    </row>
    <row r="214" spans="1:20">
      <c r="A214" t="s">
        <v>301</v>
      </c>
      <c r="B214" s="1">
        <v>45641</v>
      </c>
      <c r="C214" t="s">
        <v>49</v>
      </c>
      <c r="D214" t="s">
        <v>67</v>
      </c>
      <c r="E214" t="s">
        <v>54</v>
      </c>
      <c r="F214">
        <v>1</v>
      </c>
      <c r="G214">
        <v>88000</v>
      </c>
      <c r="H214">
        <v>38000</v>
      </c>
      <c r="I214">
        <v>50000</v>
      </c>
      <c r="J214">
        <v>0</v>
      </c>
      <c r="K214" t="s">
        <v>30</v>
      </c>
      <c r="L214" t="s">
        <v>95</v>
      </c>
      <c r="M214" t="s">
        <v>37</v>
      </c>
      <c r="N214">
        <v>12</v>
      </c>
      <c r="O214">
        <f t="shared" si="12"/>
        <v>56.82</v>
      </c>
      <c r="P214">
        <f t="shared" si="13"/>
        <v>88000</v>
      </c>
      <c r="Q214" t="str">
        <f>VLOOKUP(C214,Customers!$A:$D,3,0)</f>
        <v>South</v>
      </c>
      <c r="R214" t="str">
        <f t="shared" si="14"/>
        <v>December</v>
      </c>
      <c r="S214">
        <f t="shared" si="15"/>
        <v>12</v>
      </c>
      <c r="T214" t="str">
        <f>VLOOKUP(C214,Customers!$A:$B,2,0)</f>
        <v>Myntra Fashion</v>
      </c>
    </row>
    <row r="215" spans="1:20">
      <c r="A215" t="s">
        <v>302</v>
      </c>
      <c r="B215" s="1">
        <v>45577</v>
      </c>
      <c r="C215" t="s">
        <v>34</v>
      </c>
      <c r="D215" t="s">
        <v>61</v>
      </c>
      <c r="E215" t="s">
        <v>62</v>
      </c>
      <c r="F215">
        <v>2</v>
      </c>
      <c r="G215">
        <v>396000</v>
      </c>
      <c r="H215">
        <v>180000</v>
      </c>
      <c r="I215">
        <v>216000</v>
      </c>
      <c r="J215">
        <v>10</v>
      </c>
      <c r="K215" t="s">
        <v>25</v>
      </c>
      <c r="L215" t="s">
        <v>95</v>
      </c>
      <c r="M215" t="s">
        <v>20</v>
      </c>
      <c r="N215">
        <v>3</v>
      </c>
      <c r="O215">
        <f t="shared" si="12"/>
        <v>54.55</v>
      </c>
      <c r="P215">
        <f t="shared" si="13"/>
        <v>198000</v>
      </c>
      <c r="Q215" t="str">
        <f>VLOOKUP(C215,Customers!$A:$D,3,0)</f>
        <v>North</v>
      </c>
      <c r="R215" t="str">
        <f t="shared" si="14"/>
        <v>October</v>
      </c>
      <c r="S215">
        <f t="shared" si="15"/>
        <v>10</v>
      </c>
      <c r="T215" t="str">
        <f>VLOOKUP(C215,Customers!$A:$B,2,0)</f>
        <v>Snapdeal Ltd</v>
      </c>
    </row>
    <row r="216" spans="1:20">
      <c r="A216" t="s">
        <v>303</v>
      </c>
      <c r="B216" s="1">
        <v>45653</v>
      </c>
      <c r="C216" t="s">
        <v>104</v>
      </c>
      <c r="D216" t="s">
        <v>76</v>
      </c>
      <c r="E216" t="s">
        <v>41</v>
      </c>
      <c r="F216">
        <v>5</v>
      </c>
      <c r="G216">
        <v>199500</v>
      </c>
      <c r="H216">
        <v>90000</v>
      </c>
      <c r="I216">
        <v>109500</v>
      </c>
      <c r="J216">
        <v>5</v>
      </c>
      <c r="K216" t="s">
        <v>30</v>
      </c>
      <c r="L216" t="s">
        <v>26</v>
      </c>
      <c r="M216" t="s">
        <v>20</v>
      </c>
      <c r="N216">
        <v>6</v>
      </c>
      <c r="O216">
        <f t="shared" si="12"/>
        <v>54.89</v>
      </c>
      <c r="P216">
        <f t="shared" si="13"/>
        <v>39900</v>
      </c>
      <c r="Q216" t="str">
        <f>VLOOKUP(C216,Customers!$A:$D,3,0)</f>
        <v>South</v>
      </c>
      <c r="R216" t="str">
        <f t="shared" si="14"/>
        <v>December</v>
      </c>
      <c r="S216">
        <f t="shared" si="15"/>
        <v>12</v>
      </c>
      <c r="T216" t="str">
        <f>VLOOKUP(C216,Customers!$A:$B,2,0)</f>
        <v>Ola Cabs</v>
      </c>
    </row>
    <row r="217" spans="1:20">
      <c r="A217" t="s">
        <v>304</v>
      </c>
      <c r="B217" s="1">
        <v>45459</v>
      </c>
      <c r="C217" t="s">
        <v>104</v>
      </c>
      <c r="D217" t="s">
        <v>101</v>
      </c>
      <c r="E217" t="s">
        <v>62</v>
      </c>
      <c r="F217">
        <v>4</v>
      </c>
      <c r="G217">
        <v>288000</v>
      </c>
      <c r="H217">
        <v>140000</v>
      </c>
      <c r="I217">
        <v>148000</v>
      </c>
      <c r="J217">
        <v>10</v>
      </c>
      <c r="K217" t="s">
        <v>18</v>
      </c>
      <c r="L217" t="s">
        <v>97</v>
      </c>
      <c r="M217" t="s">
        <v>20</v>
      </c>
      <c r="N217">
        <v>12</v>
      </c>
      <c r="O217">
        <f t="shared" si="12"/>
        <v>51.39</v>
      </c>
      <c r="P217">
        <f t="shared" si="13"/>
        <v>72000</v>
      </c>
      <c r="Q217" t="str">
        <f>VLOOKUP(C217,Customers!$A:$D,3,0)</f>
        <v>South</v>
      </c>
      <c r="R217" t="str">
        <f t="shared" si="14"/>
        <v>June</v>
      </c>
      <c r="S217">
        <f t="shared" si="15"/>
        <v>6</v>
      </c>
      <c r="T217" t="str">
        <f>VLOOKUP(C217,Customers!$A:$B,2,0)</f>
        <v>Ola Cabs</v>
      </c>
    </row>
    <row r="218" spans="1:20">
      <c r="A218" t="s">
        <v>305</v>
      </c>
      <c r="B218" s="1">
        <v>45551</v>
      </c>
      <c r="C218" t="s">
        <v>91</v>
      </c>
      <c r="D218" t="s">
        <v>76</v>
      </c>
      <c r="E218" t="s">
        <v>41</v>
      </c>
      <c r="F218">
        <v>5</v>
      </c>
      <c r="G218">
        <v>199500</v>
      </c>
      <c r="H218">
        <v>90000</v>
      </c>
      <c r="I218">
        <v>109500</v>
      </c>
      <c r="J218">
        <v>5</v>
      </c>
      <c r="K218" t="s">
        <v>30</v>
      </c>
      <c r="L218" t="s">
        <v>31</v>
      </c>
      <c r="M218" t="s">
        <v>37</v>
      </c>
      <c r="N218">
        <v>12</v>
      </c>
      <c r="O218">
        <f t="shared" si="12"/>
        <v>54.89</v>
      </c>
      <c r="P218">
        <f t="shared" si="13"/>
        <v>39900</v>
      </c>
      <c r="Q218" t="str">
        <f>VLOOKUP(C218,Customers!$A:$D,3,0)</f>
        <v>South</v>
      </c>
      <c r="R218" t="str">
        <f t="shared" si="14"/>
        <v>September</v>
      </c>
      <c r="S218">
        <f t="shared" si="15"/>
        <v>9</v>
      </c>
      <c r="T218" t="str">
        <f>VLOOKUP(C218,Customers!$A:$B,2,0)</f>
        <v>CRED Fintech</v>
      </c>
    </row>
    <row r="219" spans="1:20">
      <c r="A219" t="s">
        <v>306</v>
      </c>
      <c r="B219" s="1">
        <v>45615</v>
      </c>
      <c r="C219" t="s">
        <v>106</v>
      </c>
      <c r="D219" t="s">
        <v>119</v>
      </c>
      <c r="E219" t="s">
        <v>36</v>
      </c>
      <c r="F219">
        <v>1</v>
      </c>
      <c r="G219">
        <v>90000</v>
      </c>
      <c r="H219">
        <v>45000</v>
      </c>
      <c r="I219">
        <v>45000</v>
      </c>
      <c r="J219">
        <v>10</v>
      </c>
      <c r="K219" t="s">
        <v>30</v>
      </c>
      <c r="L219" t="s">
        <v>97</v>
      </c>
      <c r="M219" t="s">
        <v>20</v>
      </c>
      <c r="N219">
        <v>6</v>
      </c>
      <c r="O219">
        <f t="shared" si="12"/>
        <v>50</v>
      </c>
      <c r="P219">
        <f t="shared" si="13"/>
        <v>90000</v>
      </c>
      <c r="Q219" t="str">
        <f>VLOOKUP(C219,Customers!$A:$D,3,0)</f>
        <v>North</v>
      </c>
      <c r="R219" t="str">
        <f t="shared" si="14"/>
        <v>November</v>
      </c>
      <c r="S219">
        <f t="shared" si="15"/>
        <v>11</v>
      </c>
      <c r="T219" t="str">
        <f>VLOOKUP(C219,Customers!$A:$B,2,0)</f>
        <v>Urban Company</v>
      </c>
    </row>
    <row r="220" spans="1:20">
      <c r="A220" t="s">
        <v>307</v>
      </c>
      <c r="B220" s="1">
        <v>45318</v>
      </c>
      <c r="C220" t="s">
        <v>122</v>
      </c>
      <c r="D220" t="s">
        <v>80</v>
      </c>
      <c r="E220" t="s">
        <v>41</v>
      </c>
      <c r="F220">
        <v>5</v>
      </c>
      <c r="G220">
        <v>208000</v>
      </c>
      <c r="H220">
        <v>110000</v>
      </c>
      <c r="I220">
        <v>98000</v>
      </c>
      <c r="J220">
        <v>20</v>
      </c>
      <c r="K220" t="s">
        <v>30</v>
      </c>
      <c r="L220" t="s">
        <v>51</v>
      </c>
      <c r="M220" t="s">
        <v>32</v>
      </c>
      <c r="N220">
        <v>3</v>
      </c>
      <c r="O220">
        <f t="shared" si="12"/>
        <v>47.12</v>
      </c>
      <c r="P220">
        <f t="shared" si="13"/>
        <v>41600</v>
      </c>
      <c r="Q220" t="str">
        <f>VLOOKUP(C220,Customers!$A:$D,3,0)</f>
        <v>West</v>
      </c>
      <c r="R220" t="str">
        <f t="shared" si="14"/>
        <v>January</v>
      </c>
      <c r="S220">
        <f t="shared" si="15"/>
        <v>1</v>
      </c>
      <c r="T220" t="str">
        <f>VLOOKUP(C220,Customers!$A:$B,2,0)</f>
        <v>HDFC Bank</v>
      </c>
    </row>
    <row r="221" spans="1:20">
      <c r="A221" t="s">
        <v>308</v>
      </c>
      <c r="B221" s="1">
        <v>45585</v>
      </c>
      <c r="C221" t="s">
        <v>151</v>
      </c>
      <c r="D221" t="s">
        <v>57</v>
      </c>
      <c r="E221" t="s">
        <v>17</v>
      </c>
      <c r="F221">
        <v>1</v>
      </c>
      <c r="G221">
        <v>57000</v>
      </c>
      <c r="H221">
        <v>25000</v>
      </c>
      <c r="I221">
        <v>32000</v>
      </c>
      <c r="J221">
        <v>5</v>
      </c>
      <c r="K221" t="s">
        <v>30</v>
      </c>
      <c r="L221" t="s">
        <v>95</v>
      </c>
      <c r="M221" t="s">
        <v>32</v>
      </c>
      <c r="N221">
        <v>24</v>
      </c>
      <c r="O221">
        <f t="shared" si="12"/>
        <v>56.14</v>
      </c>
      <c r="P221">
        <f t="shared" si="13"/>
        <v>57000</v>
      </c>
      <c r="Q221" t="str">
        <f>VLOOKUP(C221,Customers!$A:$D,3,0)</f>
        <v>North</v>
      </c>
      <c r="R221" t="str">
        <f t="shared" si="14"/>
        <v>October</v>
      </c>
      <c r="S221">
        <f t="shared" si="15"/>
        <v>10</v>
      </c>
      <c r="T221" t="str">
        <f>VLOOKUP(C221,Customers!$A:$B,2,0)</f>
        <v>HCL Systems</v>
      </c>
    </row>
    <row r="222" spans="1:20">
      <c r="A222" t="s">
        <v>309</v>
      </c>
      <c r="B222" s="1">
        <v>45626</v>
      </c>
      <c r="C222" t="s">
        <v>34</v>
      </c>
      <c r="D222" t="s">
        <v>67</v>
      </c>
      <c r="E222" t="s">
        <v>54</v>
      </c>
      <c r="F222">
        <v>4</v>
      </c>
      <c r="G222">
        <v>281600</v>
      </c>
      <c r="H222">
        <v>152000</v>
      </c>
      <c r="I222">
        <v>129600</v>
      </c>
      <c r="J222">
        <v>20</v>
      </c>
      <c r="K222" t="s">
        <v>18</v>
      </c>
      <c r="L222" t="s">
        <v>31</v>
      </c>
      <c r="M222" t="s">
        <v>32</v>
      </c>
      <c r="N222">
        <v>6</v>
      </c>
      <c r="O222">
        <f t="shared" si="12"/>
        <v>46.02</v>
      </c>
      <c r="P222">
        <f t="shared" si="13"/>
        <v>70400</v>
      </c>
      <c r="Q222" t="str">
        <f>VLOOKUP(C222,Customers!$A:$D,3,0)</f>
        <v>North</v>
      </c>
      <c r="R222" t="str">
        <f t="shared" si="14"/>
        <v>November</v>
      </c>
      <c r="S222">
        <f t="shared" si="15"/>
        <v>11</v>
      </c>
      <c r="T222" t="str">
        <f>VLOOKUP(C222,Customers!$A:$B,2,0)</f>
        <v>Snapdeal Ltd</v>
      </c>
    </row>
    <row r="223" spans="1:20">
      <c r="A223" t="s">
        <v>310</v>
      </c>
      <c r="B223" s="1">
        <v>45579</v>
      </c>
      <c r="C223" t="s">
        <v>49</v>
      </c>
      <c r="D223" t="s">
        <v>76</v>
      </c>
      <c r="E223" t="s">
        <v>41</v>
      </c>
      <c r="F223">
        <v>5</v>
      </c>
      <c r="G223">
        <v>199500</v>
      </c>
      <c r="H223">
        <v>90000</v>
      </c>
      <c r="I223">
        <v>109500</v>
      </c>
      <c r="J223">
        <v>5</v>
      </c>
      <c r="K223" t="s">
        <v>30</v>
      </c>
      <c r="L223" t="s">
        <v>51</v>
      </c>
      <c r="M223" t="s">
        <v>59</v>
      </c>
      <c r="N223">
        <v>12</v>
      </c>
      <c r="O223">
        <f t="shared" si="12"/>
        <v>54.89</v>
      </c>
      <c r="P223">
        <f t="shared" si="13"/>
        <v>39900</v>
      </c>
      <c r="Q223" t="str">
        <f>VLOOKUP(C223,Customers!$A:$D,3,0)</f>
        <v>South</v>
      </c>
      <c r="R223" t="str">
        <f t="shared" si="14"/>
        <v>October</v>
      </c>
      <c r="S223">
        <f t="shared" si="15"/>
        <v>10</v>
      </c>
      <c r="T223" t="str">
        <f>VLOOKUP(C223,Customers!$A:$B,2,0)</f>
        <v>Myntra Fashion</v>
      </c>
    </row>
    <row r="224" spans="1:20">
      <c r="A224" t="s">
        <v>311</v>
      </c>
      <c r="B224" s="1">
        <v>45571</v>
      </c>
      <c r="C224" t="s">
        <v>34</v>
      </c>
      <c r="D224" t="s">
        <v>50</v>
      </c>
      <c r="E224" t="s">
        <v>17</v>
      </c>
      <c r="F224">
        <v>5</v>
      </c>
      <c r="G224">
        <v>237500</v>
      </c>
      <c r="H224">
        <v>100000</v>
      </c>
      <c r="I224">
        <v>137500</v>
      </c>
      <c r="J224">
        <v>5</v>
      </c>
      <c r="K224" t="s">
        <v>30</v>
      </c>
      <c r="L224" t="s">
        <v>58</v>
      </c>
      <c r="M224" t="s">
        <v>37</v>
      </c>
      <c r="N224">
        <v>12</v>
      </c>
      <c r="O224">
        <f t="shared" si="12"/>
        <v>57.89</v>
      </c>
      <c r="P224">
        <f t="shared" si="13"/>
        <v>47500</v>
      </c>
      <c r="Q224" t="str">
        <f>VLOOKUP(C224,Customers!$A:$D,3,0)</f>
        <v>North</v>
      </c>
      <c r="R224" t="str">
        <f t="shared" si="14"/>
        <v>October</v>
      </c>
      <c r="S224">
        <f t="shared" si="15"/>
        <v>10</v>
      </c>
      <c r="T224" t="str">
        <f>VLOOKUP(C224,Customers!$A:$B,2,0)</f>
        <v>Snapdeal Ltd</v>
      </c>
    </row>
    <row r="225" spans="1:20">
      <c r="A225" t="s">
        <v>312</v>
      </c>
      <c r="B225" s="1">
        <v>45407</v>
      </c>
      <c r="C225" t="s">
        <v>173</v>
      </c>
      <c r="D225" t="s">
        <v>119</v>
      </c>
      <c r="E225" t="s">
        <v>36</v>
      </c>
      <c r="F225">
        <v>2</v>
      </c>
      <c r="G225">
        <v>170000</v>
      </c>
      <c r="H225">
        <v>90000</v>
      </c>
      <c r="I225">
        <v>80000</v>
      </c>
      <c r="J225">
        <v>15</v>
      </c>
      <c r="K225" t="s">
        <v>18</v>
      </c>
      <c r="L225" t="s">
        <v>47</v>
      </c>
      <c r="M225" t="s">
        <v>37</v>
      </c>
      <c r="N225">
        <v>24</v>
      </c>
      <c r="O225">
        <f t="shared" si="12"/>
        <v>47.06</v>
      </c>
      <c r="P225">
        <f t="shared" si="13"/>
        <v>85000</v>
      </c>
      <c r="Q225" t="str">
        <f>VLOOKUP(C225,Customers!$A:$D,3,0)</f>
        <v>South</v>
      </c>
      <c r="R225" t="str">
        <f t="shared" si="14"/>
        <v>April</v>
      </c>
      <c r="S225">
        <f t="shared" si="15"/>
        <v>4</v>
      </c>
      <c r="T225" t="str">
        <f>VLOOKUP(C225,Customers!$A:$B,2,0)</f>
        <v>Byju's Learning</v>
      </c>
    </row>
    <row r="226" spans="1:20">
      <c r="A226" t="s">
        <v>313</v>
      </c>
      <c r="B226" s="1">
        <v>45470</v>
      </c>
      <c r="C226" t="s">
        <v>136</v>
      </c>
      <c r="D226" t="s">
        <v>50</v>
      </c>
      <c r="E226" t="s">
        <v>17</v>
      </c>
      <c r="F226">
        <v>3</v>
      </c>
      <c r="G226">
        <v>150000</v>
      </c>
      <c r="H226">
        <v>60000</v>
      </c>
      <c r="I226">
        <v>90000</v>
      </c>
      <c r="J226">
        <v>0</v>
      </c>
      <c r="K226" t="s">
        <v>25</v>
      </c>
      <c r="L226" t="s">
        <v>63</v>
      </c>
      <c r="M226" t="s">
        <v>59</v>
      </c>
      <c r="N226">
        <v>24</v>
      </c>
      <c r="O226">
        <f t="shared" si="12"/>
        <v>60</v>
      </c>
      <c r="P226">
        <f t="shared" si="13"/>
        <v>50000</v>
      </c>
      <c r="Q226" t="str">
        <f>VLOOKUP(C226,Customers!$A:$D,3,0)</f>
        <v>North</v>
      </c>
      <c r="R226" t="str">
        <f t="shared" si="14"/>
        <v>June</v>
      </c>
      <c r="S226">
        <f t="shared" si="15"/>
        <v>6</v>
      </c>
      <c r="T226" t="str">
        <f>VLOOKUP(C226,Customers!$A:$B,2,0)</f>
        <v>BharatPe</v>
      </c>
    </row>
    <row r="227" spans="1:20">
      <c r="A227" t="s">
        <v>314</v>
      </c>
      <c r="B227" s="1">
        <v>45468</v>
      </c>
      <c r="C227" t="s">
        <v>109</v>
      </c>
      <c r="D227" t="s">
        <v>61</v>
      </c>
      <c r="E227" t="s">
        <v>62</v>
      </c>
      <c r="F227">
        <v>3</v>
      </c>
      <c r="G227">
        <v>660000</v>
      </c>
      <c r="H227">
        <v>270000</v>
      </c>
      <c r="I227">
        <v>390000</v>
      </c>
      <c r="J227">
        <v>0</v>
      </c>
      <c r="K227" t="s">
        <v>30</v>
      </c>
      <c r="L227" t="s">
        <v>19</v>
      </c>
      <c r="M227" t="s">
        <v>37</v>
      </c>
      <c r="N227">
        <v>24</v>
      </c>
      <c r="O227">
        <f t="shared" si="12"/>
        <v>59.09</v>
      </c>
      <c r="P227">
        <f t="shared" si="13"/>
        <v>220000</v>
      </c>
      <c r="Q227" t="str">
        <f>VLOOKUP(C227,Customers!$A:$D,3,0)</f>
        <v>North</v>
      </c>
      <c r="R227" t="str">
        <f t="shared" si="14"/>
        <v>June</v>
      </c>
      <c r="S227">
        <f t="shared" si="15"/>
        <v>6</v>
      </c>
      <c r="T227" t="str">
        <f>VLOOKUP(C227,Customers!$A:$B,2,0)</f>
        <v>MakeMyTrip</v>
      </c>
    </row>
    <row r="228" spans="1:20">
      <c r="A228" t="s">
        <v>315</v>
      </c>
      <c r="B228" s="1">
        <v>45623</v>
      </c>
      <c r="C228" t="s">
        <v>73</v>
      </c>
      <c r="D228" t="s">
        <v>57</v>
      </c>
      <c r="E228" t="s">
        <v>17</v>
      </c>
      <c r="F228">
        <v>5</v>
      </c>
      <c r="G228">
        <v>285000</v>
      </c>
      <c r="H228">
        <v>125000</v>
      </c>
      <c r="I228">
        <v>160000</v>
      </c>
      <c r="J228">
        <v>5</v>
      </c>
      <c r="K228" t="s">
        <v>25</v>
      </c>
      <c r="L228" t="s">
        <v>97</v>
      </c>
      <c r="M228" t="s">
        <v>32</v>
      </c>
      <c r="N228">
        <v>3</v>
      </c>
      <c r="O228">
        <f t="shared" si="12"/>
        <v>56.14</v>
      </c>
      <c r="P228">
        <f t="shared" si="13"/>
        <v>57000</v>
      </c>
      <c r="Q228" t="str">
        <f>VLOOKUP(C228,Customers!$A:$D,3,0)</f>
        <v>West</v>
      </c>
      <c r="R228" t="str">
        <f t="shared" si="14"/>
        <v>November</v>
      </c>
      <c r="S228">
        <f t="shared" si="15"/>
        <v>11</v>
      </c>
      <c r="T228" t="str">
        <f>VLOOKUP(C228,Customers!$A:$B,2,0)</f>
        <v>ICICI Tech</v>
      </c>
    </row>
    <row r="229" spans="1:20">
      <c r="A229" t="s">
        <v>316</v>
      </c>
      <c r="B229" s="1">
        <v>45607</v>
      </c>
      <c r="C229" t="s">
        <v>65</v>
      </c>
      <c r="D229" t="s">
        <v>16</v>
      </c>
      <c r="E229" t="s">
        <v>17</v>
      </c>
      <c r="F229">
        <v>1</v>
      </c>
      <c r="G229">
        <v>59500</v>
      </c>
      <c r="H229">
        <v>30000</v>
      </c>
      <c r="I229">
        <v>29500</v>
      </c>
      <c r="J229">
        <v>15</v>
      </c>
      <c r="K229" t="s">
        <v>25</v>
      </c>
      <c r="L229" t="s">
        <v>58</v>
      </c>
      <c r="M229" t="s">
        <v>32</v>
      </c>
      <c r="N229">
        <v>3</v>
      </c>
      <c r="O229">
        <f t="shared" si="12"/>
        <v>49.58</v>
      </c>
      <c r="P229">
        <f t="shared" si="13"/>
        <v>59500</v>
      </c>
      <c r="Q229" t="str">
        <f>VLOOKUP(C229,Customers!$A:$D,3,0)</f>
        <v>North</v>
      </c>
      <c r="R229" t="str">
        <f t="shared" si="14"/>
        <v>November</v>
      </c>
      <c r="S229">
        <f t="shared" si="15"/>
        <v>11</v>
      </c>
      <c r="T229" t="str">
        <f>VLOOKUP(C229,Customers!$A:$B,2,0)</f>
        <v>Zomato Pvt Ltd</v>
      </c>
    </row>
    <row r="230" spans="1:20">
      <c r="A230" t="s">
        <v>317</v>
      </c>
      <c r="B230" s="1">
        <v>45343</v>
      </c>
      <c r="C230" t="s">
        <v>167</v>
      </c>
      <c r="D230" t="s">
        <v>76</v>
      </c>
      <c r="E230" t="s">
        <v>41</v>
      </c>
      <c r="F230">
        <v>1</v>
      </c>
      <c r="G230">
        <v>35700</v>
      </c>
      <c r="H230">
        <v>18000</v>
      </c>
      <c r="I230">
        <v>17700</v>
      </c>
      <c r="J230">
        <v>15</v>
      </c>
      <c r="K230" t="s">
        <v>30</v>
      </c>
      <c r="L230" t="s">
        <v>31</v>
      </c>
      <c r="M230" t="s">
        <v>20</v>
      </c>
      <c r="N230">
        <v>6</v>
      </c>
      <c r="O230">
        <f t="shared" si="12"/>
        <v>49.58</v>
      </c>
      <c r="P230">
        <f t="shared" si="13"/>
        <v>35700</v>
      </c>
      <c r="Q230" t="str">
        <f>VLOOKUP(C230,Customers!$A:$D,3,0)</f>
        <v>South</v>
      </c>
      <c r="R230" t="str">
        <f t="shared" si="14"/>
        <v>February</v>
      </c>
      <c r="S230">
        <f t="shared" si="15"/>
        <v>2</v>
      </c>
      <c r="T230" t="str">
        <f>VLOOKUP(C230,Customers!$A:$B,2,0)</f>
        <v>Flipkart India</v>
      </c>
    </row>
    <row r="231" spans="1:20">
      <c r="A231" t="s">
        <v>318</v>
      </c>
      <c r="B231" s="1">
        <v>45500</v>
      </c>
      <c r="C231" t="s">
        <v>94</v>
      </c>
      <c r="D231" t="s">
        <v>76</v>
      </c>
      <c r="E231" t="s">
        <v>41</v>
      </c>
      <c r="F231">
        <v>4</v>
      </c>
      <c r="G231">
        <v>142800</v>
      </c>
      <c r="H231">
        <v>72000</v>
      </c>
      <c r="I231">
        <v>70800</v>
      </c>
      <c r="J231">
        <v>15</v>
      </c>
      <c r="K231" t="s">
        <v>30</v>
      </c>
      <c r="L231" t="s">
        <v>97</v>
      </c>
      <c r="M231" t="s">
        <v>37</v>
      </c>
      <c r="N231">
        <v>12</v>
      </c>
      <c r="O231">
        <f t="shared" si="12"/>
        <v>49.58</v>
      </c>
      <c r="P231">
        <f t="shared" si="13"/>
        <v>35700</v>
      </c>
      <c r="Q231" t="str">
        <f>VLOOKUP(C231,Customers!$A:$D,3,0)</f>
        <v>South</v>
      </c>
      <c r="R231" t="str">
        <f t="shared" si="14"/>
        <v>July</v>
      </c>
      <c r="S231">
        <f t="shared" si="15"/>
        <v>7</v>
      </c>
      <c r="T231" t="str">
        <f>VLOOKUP(C231,Customers!$A:$B,2,0)</f>
        <v>PhonePe Pay</v>
      </c>
    </row>
    <row r="232" spans="1:20">
      <c r="A232" t="s">
        <v>319</v>
      </c>
      <c r="B232" s="1">
        <v>45573</v>
      </c>
      <c r="C232" t="s">
        <v>158</v>
      </c>
      <c r="D232" t="s">
        <v>82</v>
      </c>
      <c r="E232" t="s">
        <v>54</v>
      </c>
      <c r="F232">
        <v>2</v>
      </c>
      <c r="G232">
        <v>261000</v>
      </c>
      <c r="H232">
        <v>120000</v>
      </c>
      <c r="I232">
        <v>141000</v>
      </c>
      <c r="J232">
        <v>10</v>
      </c>
      <c r="K232" t="s">
        <v>18</v>
      </c>
      <c r="L232" t="s">
        <v>31</v>
      </c>
      <c r="M232" t="s">
        <v>32</v>
      </c>
      <c r="N232">
        <v>24</v>
      </c>
      <c r="O232">
        <f t="shared" si="12"/>
        <v>54.02</v>
      </c>
      <c r="P232">
        <f t="shared" si="13"/>
        <v>130500</v>
      </c>
      <c r="Q232" t="str">
        <f>VLOOKUP(C232,Customers!$A:$D,3,0)</f>
        <v>West</v>
      </c>
      <c r="R232" t="str">
        <f t="shared" si="14"/>
        <v>October</v>
      </c>
      <c r="S232">
        <f t="shared" si="15"/>
        <v>10</v>
      </c>
      <c r="T232" t="str">
        <f>VLOOKUP(C232,Customers!$A:$B,2,0)</f>
        <v>Tanishq Retail</v>
      </c>
    </row>
    <row r="233" spans="1:20">
      <c r="A233" t="s">
        <v>320</v>
      </c>
      <c r="B233" s="1">
        <v>45382</v>
      </c>
      <c r="C233" t="s">
        <v>99</v>
      </c>
      <c r="D233" t="s">
        <v>154</v>
      </c>
      <c r="E233" t="s">
        <v>45</v>
      </c>
      <c r="F233">
        <v>4</v>
      </c>
      <c r="G233">
        <v>520000</v>
      </c>
      <c r="H233">
        <v>220000</v>
      </c>
      <c r="I233">
        <v>300000</v>
      </c>
      <c r="J233">
        <v>0</v>
      </c>
      <c r="K233" t="s">
        <v>18</v>
      </c>
      <c r="L233" t="s">
        <v>97</v>
      </c>
      <c r="M233" t="s">
        <v>27</v>
      </c>
      <c r="N233">
        <v>3</v>
      </c>
      <c r="O233">
        <f t="shared" si="12"/>
        <v>57.69</v>
      </c>
      <c r="P233">
        <f t="shared" si="13"/>
        <v>130000</v>
      </c>
      <c r="Q233" t="str">
        <f>VLOOKUP(C233,Customers!$A:$D,3,0)</f>
        <v>West</v>
      </c>
      <c r="R233" t="str">
        <f t="shared" si="14"/>
        <v>March</v>
      </c>
      <c r="S233">
        <f t="shared" si="15"/>
        <v>3</v>
      </c>
      <c r="T233" t="str">
        <f>VLOOKUP(C233,Customers!$A:$B,2,0)</f>
        <v>Tata Consultancy</v>
      </c>
    </row>
    <row r="234" spans="1:20">
      <c r="A234" t="s">
        <v>321</v>
      </c>
      <c r="B234" s="1">
        <v>45444</v>
      </c>
      <c r="C234" t="s">
        <v>151</v>
      </c>
      <c r="D234" t="s">
        <v>35</v>
      </c>
      <c r="E234" t="s">
        <v>36</v>
      </c>
      <c r="F234">
        <v>3</v>
      </c>
      <c r="G234">
        <v>185250</v>
      </c>
      <c r="H234">
        <v>84000</v>
      </c>
      <c r="I234">
        <v>101250</v>
      </c>
      <c r="J234">
        <v>5</v>
      </c>
      <c r="K234" t="s">
        <v>18</v>
      </c>
      <c r="L234" t="s">
        <v>63</v>
      </c>
      <c r="M234" t="s">
        <v>20</v>
      </c>
      <c r="N234">
        <v>24</v>
      </c>
      <c r="O234">
        <f t="shared" si="12"/>
        <v>54.66</v>
      </c>
      <c r="P234">
        <f t="shared" si="13"/>
        <v>61750</v>
      </c>
      <c r="Q234" t="str">
        <f>VLOOKUP(C234,Customers!$A:$D,3,0)</f>
        <v>North</v>
      </c>
      <c r="R234" t="str">
        <f t="shared" si="14"/>
        <v>June</v>
      </c>
      <c r="S234">
        <f t="shared" si="15"/>
        <v>6</v>
      </c>
      <c r="T234" t="str">
        <f>VLOOKUP(C234,Customers!$A:$B,2,0)</f>
        <v>HCL Systems</v>
      </c>
    </row>
    <row r="235" spans="1:20">
      <c r="A235" t="s">
        <v>322</v>
      </c>
      <c r="B235" s="1">
        <v>45360</v>
      </c>
      <c r="C235" t="s">
        <v>79</v>
      </c>
      <c r="D235" t="s">
        <v>50</v>
      </c>
      <c r="E235" t="s">
        <v>17</v>
      </c>
      <c r="F235">
        <v>2</v>
      </c>
      <c r="G235">
        <v>80000</v>
      </c>
      <c r="H235">
        <v>40000</v>
      </c>
      <c r="I235">
        <v>40000</v>
      </c>
      <c r="J235">
        <v>20</v>
      </c>
      <c r="K235" t="s">
        <v>30</v>
      </c>
      <c r="L235" t="s">
        <v>70</v>
      </c>
      <c r="M235" t="s">
        <v>32</v>
      </c>
      <c r="N235">
        <v>24</v>
      </c>
      <c r="O235">
        <f t="shared" si="12"/>
        <v>50</v>
      </c>
      <c r="P235">
        <f t="shared" si="13"/>
        <v>40000</v>
      </c>
      <c r="Q235" t="str">
        <f>VLOOKUP(C235,Customers!$A:$D,3,0)</f>
        <v>West</v>
      </c>
      <c r="R235" t="str">
        <f t="shared" si="14"/>
        <v>March</v>
      </c>
      <c r="S235">
        <f t="shared" si="15"/>
        <v>3</v>
      </c>
      <c r="T235" t="str">
        <f>VLOOKUP(C235,Customers!$A:$B,2,0)</f>
        <v>Dream11 Sports</v>
      </c>
    </row>
    <row r="236" spans="1:20">
      <c r="A236" t="s">
        <v>323</v>
      </c>
      <c r="B236" s="1">
        <v>45585</v>
      </c>
      <c r="C236" t="s">
        <v>22</v>
      </c>
      <c r="D236" t="s">
        <v>35</v>
      </c>
      <c r="E236" t="s">
        <v>36</v>
      </c>
      <c r="F236">
        <v>3</v>
      </c>
      <c r="G236">
        <v>175500</v>
      </c>
      <c r="H236">
        <v>84000</v>
      </c>
      <c r="I236">
        <v>91500</v>
      </c>
      <c r="J236">
        <v>10</v>
      </c>
      <c r="K236" t="s">
        <v>18</v>
      </c>
      <c r="L236" t="s">
        <v>58</v>
      </c>
      <c r="M236" t="s">
        <v>32</v>
      </c>
      <c r="N236">
        <v>24</v>
      </c>
      <c r="O236">
        <f t="shared" si="12"/>
        <v>52.14</v>
      </c>
      <c r="P236">
        <f t="shared" si="13"/>
        <v>58500</v>
      </c>
      <c r="Q236" t="str">
        <f>VLOOKUP(C236,Customers!$A:$D,3,0)</f>
        <v>South</v>
      </c>
      <c r="R236" t="str">
        <f t="shared" si="14"/>
        <v>October</v>
      </c>
      <c r="S236">
        <f t="shared" si="15"/>
        <v>10</v>
      </c>
      <c r="T236" t="str">
        <f>VLOOKUP(C236,Customers!$A:$B,2,0)</f>
        <v>Infosys Ltd</v>
      </c>
    </row>
    <row r="237" spans="1:20">
      <c r="A237" t="s">
        <v>324</v>
      </c>
      <c r="B237" s="1">
        <v>45510</v>
      </c>
      <c r="C237" t="s">
        <v>56</v>
      </c>
      <c r="D237" t="s">
        <v>154</v>
      </c>
      <c r="E237" t="s">
        <v>45</v>
      </c>
      <c r="F237">
        <v>1</v>
      </c>
      <c r="G237">
        <v>130000</v>
      </c>
      <c r="H237">
        <v>55000</v>
      </c>
      <c r="I237">
        <v>75000</v>
      </c>
      <c r="J237">
        <v>0</v>
      </c>
      <c r="K237" t="s">
        <v>30</v>
      </c>
      <c r="L237" t="s">
        <v>47</v>
      </c>
      <c r="M237" t="s">
        <v>37</v>
      </c>
      <c r="N237">
        <v>6</v>
      </c>
      <c r="O237">
        <f t="shared" si="12"/>
        <v>57.69</v>
      </c>
      <c r="P237">
        <f t="shared" si="13"/>
        <v>130000</v>
      </c>
      <c r="Q237" t="str">
        <f>VLOOKUP(C237,Customers!$A:$D,3,0)</f>
        <v>South</v>
      </c>
      <c r="R237" t="str">
        <f t="shared" si="14"/>
        <v>August</v>
      </c>
      <c r="S237">
        <f t="shared" si="15"/>
        <v>8</v>
      </c>
      <c r="T237" t="str">
        <f>VLOOKUP(C237,Customers!$A:$B,2,0)</f>
        <v>Wipro Technologies</v>
      </c>
    </row>
    <row r="238" spans="1:20">
      <c r="A238" t="s">
        <v>325</v>
      </c>
      <c r="B238" s="1">
        <v>45592</v>
      </c>
      <c r="C238" t="s">
        <v>79</v>
      </c>
      <c r="D238" t="s">
        <v>50</v>
      </c>
      <c r="E238" t="s">
        <v>17</v>
      </c>
      <c r="F238">
        <v>3</v>
      </c>
      <c r="G238">
        <v>142500</v>
      </c>
      <c r="H238">
        <v>60000</v>
      </c>
      <c r="I238">
        <v>82500</v>
      </c>
      <c r="J238">
        <v>5</v>
      </c>
      <c r="K238" t="s">
        <v>25</v>
      </c>
      <c r="L238" t="s">
        <v>26</v>
      </c>
      <c r="M238" t="s">
        <v>27</v>
      </c>
      <c r="N238">
        <v>12</v>
      </c>
      <c r="O238">
        <f t="shared" si="12"/>
        <v>57.89</v>
      </c>
      <c r="P238">
        <f t="shared" si="13"/>
        <v>47500</v>
      </c>
      <c r="Q238" t="str">
        <f>VLOOKUP(C238,Customers!$A:$D,3,0)</f>
        <v>West</v>
      </c>
      <c r="R238" t="str">
        <f t="shared" si="14"/>
        <v>October</v>
      </c>
      <c r="S238">
        <f t="shared" si="15"/>
        <v>10</v>
      </c>
      <c r="T238" t="str">
        <f>VLOOKUP(C238,Customers!$A:$B,2,0)</f>
        <v>Dream11 Sports</v>
      </c>
    </row>
    <row r="239" spans="1:20">
      <c r="A239" t="s">
        <v>326</v>
      </c>
      <c r="B239" s="1">
        <v>45626</v>
      </c>
      <c r="C239" t="s">
        <v>65</v>
      </c>
      <c r="D239" t="s">
        <v>86</v>
      </c>
      <c r="E239" t="s">
        <v>24</v>
      </c>
      <c r="F239">
        <v>1</v>
      </c>
      <c r="G239">
        <v>133000</v>
      </c>
      <c r="H239">
        <v>60000</v>
      </c>
      <c r="I239">
        <v>73000</v>
      </c>
      <c r="J239">
        <v>5</v>
      </c>
      <c r="K239" t="s">
        <v>30</v>
      </c>
      <c r="L239" t="s">
        <v>51</v>
      </c>
      <c r="M239" t="s">
        <v>59</v>
      </c>
      <c r="N239">
        <v>12</v>
      </c>
      <c r="O239">
        <f t="shared" si="12"/>
        <v>54.89</v>
      </c>
      <c r="P239">
        <f t="shared" si="13"/>
        <v>133000</v>
      </c>
      <c r="Q239" t="str">
        <f>VLOOKUP(C239,Customers!$A:$D,3,0)</f>
        <v>North</v>
      </c>
      <c r="R239" t="str">
        <f t="shared" si="14"/>
        <v>November</v>
      </c>
      <c r="S239">
        <f t="shared" si="15"/>
        <v>11</v>
      </c>
      <c r="T239" t="str">
        <f>VLOOKUP(C239,Customers!$A:$B,2,0)</f>
        <v>Zomato Pvt Ltd</v>
      </c>
    </row>
    <row r="240" spans="1:20">
      <c r="A240" t="s">
        <v>327</v>
      </c>
      <c r="B240" s="1">
        <v>45599</v>
      </c>
      <c r="C240" t="s">
        <v>115</v>
      </c>
      <c r="D240" t="s">
        <v>67</v>
      </c>
      <c r="E240" t="s">
        <v>54</v>
      </c>
      <c r="F240">
        <v>2</v>
      </c>
      <c r="G240">
        <v>176000</v>
      </c>
      <c r="H240">
        <v>76000</v>
      </c>
      <c r="I240">
        <v>100000</v>
      </c>
      <c r="J240">
        <v>0</v>
      </c>
      <c r="K240" t="s">
        <v>30</v>
      </c>
      <c r="L240" t="s">
        <v>47</v>
      </c>
      <c r="M240" t="s">
        <v>32</v>
      </c>
      <c r="N240">
        <v>24</v>
      </c>
      <c r="O240">
        <f t="shared" si="12"/>
        <v>56.82</v>
      </c>
      <c r="P240">
        <f t="shared" si="13"/>
        <v>88000</v>
      </c>
      <c r="Q240" t="str">
        <f>VLOOKUP(C240,Customers!$A:$D,3,0)</f>
        <v>North</v>
      </c>
      <c r="R240" t="str">
        <f t="shared" si="14"/>
        <v>November</v>
      </c>
      <c r="S240">
        <f t="shared" si="15"/>
        <v>11</v>
      </c>
      <c r="T240" t="str">
        <f>VLOOKUP(C240,Customers!$A:$B,2,0)</f>
        <v>Paytm Services</v>
      </c>
    </row>
    <row r="241" spans="1:20">
      <c r="A241" t="s">
        <v>328</v>
      </c>
      <c r="B241" s="1">
        <v>45602</v>
      </c>
      <c r="C241" t="s">
        <v>167</v>
      </c>
      <c r="D241" t="s">
        <v>53</v>
      </c>
      <c r="E241" t="s">
        <v>54</v>
      </c>
      <c r="F241">
        <v>4</v>
      </c>
      <c r="G241">
        <v>640000</v>
      </c>
      <c r="H241">
        <v>340000</v>
      </c>
      <c r="I241">
        <v>300000</v>
      </c>
      <c r="J241">
        <v>20</v>
      </c>
      <c r="K241" t="s">
        <v>25</v>
      </c>
      <c r="L241" t="s">
        <v>58</v>
      </c>
      <c r="M241" t="s">
        <v>32</v>
      </c>
      <c r="N241">
        <v>3</v>
      </c>
      <c r="O241">
        <f t="shared" si="12"/>
        <v>46.88</v>
      </c>
      <c r="P241">
        <f t="shared" si="13"/>
        <v>160000</v>
      </c>
      <c r="Q241" t="str">
        <f>VLOOKUP(C241,Customers!$A:$D,3,0)</f>
        <v>South</v>
      </c>
      <c r="R241" t="str">
        <f t="shared" si="14"/>
        <v>November</v>
      </c>
      <c r="S241">
        <f t="shared" si="15"/>
        <v>11</v>
      </c>
      <c r="T241" t="str">
        <f>VLOOKUP(C241,Customers!$A:$B,2,0)</f>
        <v>Flipkart India</v>
      </c>
    </row>
    <row r="242" spans="1:20">
      <c r="A242" t="s">
        <v>329</v>
      </c>
      <c r="B242" s="1">
        <v>45561</v>
      </c>
      <c r="C242" t="s">
        <v>167</v>
      </c>
      <c r="D242" t="s">
        <v>44</v>
      </c>
      <c r="E242" t="s">
        <v>45</v>
      </c>
      <c r="F242">
        <v>1</v>
      </c>
      <c r="G242">
        <v>252000</v>
      </c>
      <c r="H242">
        <v>120000</v>
      </c>
      <c r="I242">
        <v>132000</v>
      </c>
      <c r="J242">
        <v>10</v>
      </c>
      <c r="K242" t="s">
        <v>30</v>
      </c>
      <c r="L242" t="s">
        <v>31</v>
      </c>
      <c r="M242" t="s">
        <v>20</v>
      </c>
      <c r="N242">
        <v>6</v>
      </c>
      <c r="O242">
        <f t="shared" si="12"/>
        <v>52.38</v>
      </c>
      <c r="P242">
        <f t="shared" si="13"/>
        <v>252000</v>
      </c>
      <c r="Q242" t="str">
        <f>VLOOKUP(C242,Customers!$A:$D,3,0)</f>
        <v>South</v>
      </c>
      <c r="R242" t="str">
        <f t="shared" si="14"/>
        <v>September</v>
      </c>
      <c r="S242">
        <f t="shared" si="15"/>
        <v>9</v>
      </c>
      <c r="T242" t="str">
        <f>VLOOKUP(C242,Customers!$A:$B,2,0)</f>
        <v>Flipkart India</v>
      </c>
    </row>
    <row r="243" spans="1:20">
      <c r="A243" t="s">
        <v>330</v>
      </c>
      <c r="B243" s="1">
        <v>45585</v>
      </c>
      <c r="C243" t="s">
        <v>122</v>
      </c>
      <c r="D243" t="s">
        <v>35</v>
      </c>
      <c r="E243" t="s">
        <v>36</v>
      </c>
      <c r="F243">
        <v>5</v>
      </c>
      <c r="G243">
        <v>308750</v>
      </c>
      <c r="H243">
        <v>140000</v>
      </c>
      <c r="I243">
        <v>168750</v>
      </c>
      <c r="J243">
        <v>5</v>
      </c>
      <c r="K243" t="s">
        <v>30</v>
      </c>
      <c r="L243" t="s">
        <v>58</v>
      </c>
      <c r="M243" t="s">
        <v>20</v>
      </c>
      <c r="N243">
        <v>24</v>
      </c>
      <c r="O243">
        <f t="shared" si="12"/>
        <v>54.66</v>
      </c>
      <c r="P243">
        <f t="shared" si="13"/>
        <v>61750</v>
      </c>
      <c r="Q243" t="str">
        <f>VLOOKUP(C243,Customers!$A:$D,3,0)</f>
        <v>West</v>
      </c>
      <c r="R243" t="str">
        <f t="shared" si="14"/>
        <v>October</v>
      </c>
      <c r="S243">
        <f t="shared" si="15"/>
        <v>10</v>
      </c>
      <c r="T243" t="str">
        <f>VLOOKUP(C243,Customers!$A:$B,2,0)</f>
        <v>HDFC Bank</v>
      </c>
    </row>
    <row r="244" spans="1:20">
      <c r="A244" t="s">
        <v>331</v>
      </c>
      <c r="B244" s="1">
        <v>45338</v>
      </c>
      <c r="C244" t="s">
        <v>79</v>
      </c>
      <c r="D244" t="s">
        <v>86</v>
      </c>
      <c r="E244" t="s">
        <v>24</v>
      </c>
      <c r="F244">
        <v>4</v>
      </c>
      <c r="G244">
        <v>560000</v>
      </c>
      <c r="H244">
        <v>240000</v>
      </c>
      <c r="I244">
        <v>320000</v>
      </c>
      <c r="J244">
        <v>0</v>
      </c>
      <c r="K244" t="s">
        <v>25</v>
      </c>
      <c r="L244" t="s">
        <v>95</v>
      </c>
      <c r="M244" t="s">
        <v>59</v>
      </c>
      <c r="N244">
        <v>3</v>
      </c>
      <c r="O244">
        <f t="shared" si="12"/>
        <v>57.14</v>
      </c>
      <c r="P244">
        <f t="shared" si="13"/>
        <v>140000</v>
      </c>
      <c r="Q244" t="str">
        <f>VLOOKUP(C244,Customers!$A:$D,3,0)</f>
        <v>West</v>
      </c>
      <c r="R244" t="str">
        <f t="shared" si="14"/>
        <v>February</v>
      </c>
      <c r="S244">
        <f t="shared" si="15"/>
        <v>2</v>
      </c>
      <c r="T244" t="str">
        <f>VLOOKUP(C244,Customers!$A:$B,2,0)</f>
        <v>Dream11 Sports</v>
      </c>
    </row>
    <row r="245" spans="1:20">
      <c r="A245" t="s">
        <v>332</v>
      </c>
      <c r="B245" s="1">
        <v>45578</v>
      </c>
      <c r="C245" t="s">
        <v>109</v>
      </c>
      <c r="D245" t="s">
        <v>119</v>
      </c>
      <c r="E245" t="s">
        <v>36</v>
      </c>
      <c r="F245">
        <v>1</v>
      </c>
      <c r="G245">
        <v>95000</v>
      </c>
      <c r="H245">
        <v>45000</v>
      </c>
      <c r="I245">
        <v>50000</v>
      </c>
      <c r="J245">
        <v>5</v>
      </c>
      <c r="K245" t="s">
        <v>30</v>
      </c>
      <c r="L245" t="s">
        <v>31</v>
      </c>
      <c r="M245" t="s">
        <v>32</v>
      </c>
      <c r="N245">
        <v>3</v>
      </c>
      <c r="O245">
        <f t="shared" si="12"/>
        <v>52.63</v>
      </c>
      <c r="P245">
        <f t="shared" si="13"/>
        <v>95000</v>
      </c>
      <c r="Q245" t="str">
        <f>VLOOKUP(C245,Customers!$A:$D,3,0)</f>
        <v>North</v>
      </c>
      <c r="R245" t="str">
        <f t="shared" si="14"/>
        <v>October</v>
      </c>
      <c r="S245">
        <f t="shared" si="15"/>
        <v>10</v>
      </c>
      <c r="T245" t="str">
        <f>VLOOKUP(C245,Customers!$A:$B,2,0)</f>
        <v>MakeMyTrip</v>
      </c>
    </row>
    <row r="246" spans="1:20">
      <c r="A246" t="s">
        <v>333</v>
      </c>
      <c r="B246" s="1">
        <v>45315</v>
      </c>
      <c r="C246" t="s">
        <v>167</v>
      </c>
      <c r="D246" t="s">
        <v>23</v>
      </c>
      <c r="E246" t="s">
        <v>24</v>
      </c>
      <c r="F246">
        <v>5</v>
      </c>
      <c r="G246">
        <v>600000</v>
      </c>
      <c r="H246">
        <v>250000</v>
      </c>
      <c r="I246">
        <v>350000</v>
      </c>
      <c r="J246">
        <v>0</v>
      </c>
      <c r="K246" t="s">
        <v>30</v>
      </c>
      <c r="L246" t="s">
        <v>47</v>
      </c>
      <c r="M246" t="s">
        <v>27</v>
      </c>
      <c r="N246">
        <v>12</v>
      </c>
      <c r="O246">
        <f t="shared" si="12"/>
        <v>58.33</v>
      </c>
      <c r="P246">
        <f t="shared" si="13"/>
        <v>120000</v>
      </c>
      <c r="Q246" t="str">
        <f>VLOOKUP(C246,Customers!$A:$D,3,0)</f>
        <v>South</v>
      </c>
      <c r="R246" t="str">
        <f t="shared" si="14"/>
        <v>January</v>
      </c>
      <c r="S246">
        <f t="shared" si="15"/>
        <v>1</v>
      </c>
      <c r="T246" t="str">
        <f>VLOOKUP(C246,Customers!$A:$B,2,0)</f>
        <v>Flipkart India</v>
      </c>
    </row>
    <row r="247" spans="1:20">
      <c r="A247" t="s">
        <v>334</v>
      </c>
      <c r="B247" s="1">
        <v>45579</v>
      </c>
      <c r="C247" t="s">
        <v>34</v>
      </c>
      <c r="D247" t="s">
        <v>89</v>
      </c>
      <c r="E247" t="s">
        <v>45</v>
      </c>
      <c r="F247">
        <v>3</v>
      </c>
      <c r="G247">
        <v>456000</v>
      </c>
      <c r="H247">
        <v>210000</v>
      </c>
      <c r="I247">
        <v>246000</v>
      </c>
      <c r="J247">
        <v>5</v>
      </c>
      <c r="K247" t="s">
        <v>30</v>
      </c>
      <c r="L247" t="s">
        <v>95</v>
      </c>
      <c r="M247" t="s">
        <v>59</v>
      </c>
      <c r="N247">
        <v>3</v>
      </c>
      <c r="O247">
        <f t="shared" si="12"/>
        <v>53.95</v>
      </c>
      <c r="P247">
        <f t="shared" si="13"/>
        <v>152000</v>
      </c>
      <c r="Q247" t="str">
        <f>VLOOKUP(C247,Customers!$A:$D,3,0)</f>
        <v>North</v>
      </c>
      <c r="R247" t="str">
        <f t="shared" si="14"/>
        <v>October</v>
      </c>
      <c r="S247">
        <f t="shared" si="15"/>
        <v>10</v>
      </c>
      <c r="T247" t="str">
        <f>VLOOKUP(C247,Customers!$A:$B,2,0)</f>
        <v>Snapdeal Ltd</v>
      </c>
    </row>
    <row r="248" spans="1:20">
      <c r="A248" t="s">
        <v>335</v>
      </c>
      <c r="B248" s="1">
        <v>45641</v>
      </c>
      <c r="C248" t="s">
        <v>43</v>
      </c>
      <c r="D248" t="s">
        <v>53</v>
      </c>
      <c r="E248" t="s">
        <v>54</v>
      </c>
      <c r="F248">
        <v>2</v>
      </c>
      <c r="G248">
        <v>340000</v>
      </c>
      <c r="H248">
        <v>170000</v>
      </c>
      <c r="I248">
        <v>170000</v>
      </c>
      <c r="J248">
        <v>15</v>
      </c>
      <c r="K248" t="s">
        <v>30</v>
      </c>
      <c r="L248" t="s">
        <v>19</v>
      </c>
      <c r="M248" t="s">
        <v>32</v>
      </c>
      <c r="N248">
        <v>24</v>
      </c>
      <c r="O248">
        <f t="shared" si="12"/>
        <v>50</v>
      </c>
      <c r="P248">
        <f t="shared" si="13"/>
        <v>170000</v>
      </c>
      <c r="Q248" t="str">
        <f>VLOOKUP(C248,Customers!$A:$D,3,0)</f>
        <v>South</v>
      </c>
      <c r="R248" t="str">
        <f t="shared" si="14"/>
        <v>December</v>
      </c>
      <c r="S248">
        <f t="shared" si="15"/>
        <v>12</v>
      </c>
      <c r="T248" t="str">
        <f>VLOOKUP(C248,Customers!$A:$B,2,0)</f>
        <v>Groww Invest</v>
      </c>
    </row>
    <row r="249" spans="1:20">
      <c r="A249" t="s">
        <v>336</v>
      </c>
      <c r="B249" s="1">
        <v>45590</v>
      </c>
      <c r="C249" t="s">
        <v>139</v>
      </c>
      <c r="D249" t="s">
        <v>92</v>
      </c>
      <c r="E249" t="s">
        <v>24</v>
      </c>
      <c r="F249">
        <v>1</v>
      </c>
      <c r="G249">
        <v>171000</v>
      </c>
      <c r="H249">
        <v>80000</v>
      </c>
      <c r="I249">
        <v>91000</v>
      </c>
      <c r="J249">
        <v>5</v>
      </c>
      <c r="K249" t="s">
        <v>30</v>
      </c>
      <c r="L249" t="s">
        <v>63</v>
      </c>
      <c r="M249" t="s">
        <v>59</v>
      </c>
      <c r="N249">
        <v>24</v>
      </c>
      <c r="O249">
        <f t="shared" si="12"/>
        <v>53.22</v>
      </c>
      <c r="P249">
        <f t="shared" si="13"/>
        <v>171000</v>
      </c>
      <c r="Q249" t="str">
        <f>VLOOKUP(C249,Customers!$A:$D,3,0)</f>
        <v>North</v>
      </c>
      <c r="R249" t="str">
        <f t="shared" si="14"/>
        <v>October</v>
      </c>
      <c r="S249">
        <f t="shared" si="15"/>
        <v>10</v>
      </c>
      <c r="T249" t="str">
        <f>VLOOKUP(C249,Customers!$A:$B,2,0)</f>
        <v>PolicyBazaar</v>
      </c>
    </row>
    <row r="250" spans="1:20">
      <c r="A250" t="s">
        <v>337</v>
      </c>
      <c r="B250" s="1">
        <v>45606</v>
      </c>
      <c r="C250" t="s">
        <v>88</v>
      </c>
      <c r="D250" t="s">
        <v>50</v>
      </c>
      <c r="E250" t="s">
        <v>17</v>
      </c>
      <c r="F250">
        <v>2</v>
      </c>
      <c r="G250">
        <v>85000</v>
      </c>
      <c r="H250">
        <v>40000</v>
      </c>
      <c r="I250">
        <v>45000</v>
      </c>
      <c r="J250">
        <v>15</v>
      </c>
      <c r="K250" t="s">
        <v>30</v>
      </c>
      <c r="L250" t="s">
        <v>31</v>
      </c>
      <c r="M250" t="s">
        <v>59</v>
      </c>
      <c r="N250">
        <v>3</v>
      </c>
      <c r="O250">
        <f t="shared" si="12"/>
        <v>52.94</v>
      </c>
      <c r="P250">
        <f t="shared" si="13"/>
        <v>42500</v>
      </c>
      <c r="Q250" t="str">
        <f>VLOOKUP(C250,Customers!$A:$D,3,0)</f>
        <v>West</v>
      </c>
      <c r="R250" t="str">
        <f t="shared" si="14"/>
        <v>November</v>
      </c>
      <c r="S250">
        <f t="shared" si="15"/>
        <v>11</v>
      </c>
      <c r="T250" t="str">
        <f>VLOOKUP(C250,Customers!$A:$B,2,0)</f>
        <v>Reliance Digital</v>
      </c>
    </row>
    <row r="251" spans="1:20">
      <c r="A251" t="s">
        <v>338</v>
      </c>
      <c r="B251" s="1">
        <v>45574</v>
      </c>
      <c r="C251" t="s">
        <v>131</v>
      </c>
      <c r="D251" t="s">
        <v>86</v>
      </c>
      <c r="E251" t="s">
        <v>24</v>
      </c>
      <c r="F251">
        <v>4</v>
      </c>
      <c r="G251">
        <v>504000</v>
      </c>
      <c r="H251">
        <v>240000</v>
      </c>
      <c r="I251">
        <v>264000</v>
      </c>
      <c r="J251">
        <v>10</v>
      </c>
      <c r="K251" t="s">
        <v>18</v>
      </c>
      <c r="L251" t="s">
        <v>31</v>
      </c>
      <c r="M251" t="s">
        <v>32</v>
      </c>
      <c r="N251">
        <v>3</v>
      </c>
      <c r="O251">
        <f t="shared" si="12"/>
        <v>52.38</v>
      </c>
      <c r="P251">
        <f t="shared" si="13"/>
        <v>126000</v>
      </c>
      <c r="Q251" t="str">
        <f>VLOOKUP(C251,Customers!$A:$D,3,0)</f>
        <v>North</v>
      </c>
      <c r="R251" t="str">
        <f t="shared" si="14"/>
        <v>October</v>
      </c>
      <c r="S251">
        <f t="shared" si="15"/>
        <v>10</v>
      </c>
      <c r="T251" t="str">
        <f>VLOOKUP(C251,Customers!$A:$B,2,0)</f>
        <v>Lenskart Vision</v>
      </c>
    </row>
    <row r="252" spans="1:20">
      <c r="A252" t="s">
        <v>339</v>
      </c>
      <c r="B252" s="1">
        <v>45497</v>
      </c>
      <c r="C252" t="s">
        <v>91</v>
      </c>
      <c r="D252" t="s">
        <v>57</v>
      </c>
      <c r="E252" t="s">
        <v>17</v>
      </c>
      <c r="F252">
        <v>1</v>
      </c>
      <c r="G252">
        <v>60000</v>
      </c>
      <c r="H252">
        <v>25000</v>
      </c>
      <c r="I252">
        <v>35000</v>
      </c>
      <c r="J252">
        <v>0</v>
      </c>
      <c r="K252" t="s">
        <v>25</v>
      </c>
      <c r="L252" t="s">
        <v>97</v>
      </c>
      <c r="M252" t="s">
        <v>32</v>
      </c>
      <c r="N252">
        <v>12</v>
      </c>
      <c r="O252">
        <f t="shared" si="12"/>
        <v>58.33</v>
      </c>
      <c r="P252">
        <f t="shared" si="13"/>
        <v>60000</v>
      </c>
      <c r="Q252" t="str">
        <f>VLOOKUP(C252,Customers!$A:$D,3,0)</f>
        <v>South</v>
      </c>
      <c r="R252" t="str">
        <f t="shared" si="14"/>
        <v>July</v>
      </c>
      <c r="S252">
        <f t="shared" si="15"/>
        <v>7</v>
      </c>
      <c r="T252" t="str">
        <f>VLOOKUP(C252,Customers!$A:$B,2,0)</f>
        <v>CRED Fintech</v>
      </c>
    </row>
    <row r="253" spans="1:20">
      <c r="A253" t="s">
        <v>340</v>
      </c>
      <c r="B253" s="1">
        <v>45587</v>
      </c>
      <c r="C253" t="s">
        <v>49</v>
      </c>
      <c r="D253" t="s">
        <v>35</v>
      </c>
      <c r="E253" t="s">
        <v>36</v>
      </c>
      <c r="F253">
        <v>2</v>
      </c>
      <c r="G253">
        <v>123500</v>
      </c>
      <c r="H253">
        <v>56000</v>
      </c>
      <c r="I253">
        <v>67500</v>
      </c>
      <c r="J253">
        <v>5</v>
      </c>
      <c r="K253" t="s">
        <v>30</v>
      </c>
      <c r="L253" t="s">
        <v>63</v>
      </c>
      <c r="M253" t="s">
        <v>32</v>
      </c>
      <c r="N253">
        <v>24</v>
      </c>
      <c r="O253">
        <f t="shared" si="12"/>
        <v>54.66</v>
      </c>
      <c r="P253">
        <f t="shared" si="13"/>
        <v>61750</v>
      </c>
      <c r="Q253" t="str">
        <f>VLOOKUP(C253,Customers!$A:$D,3,0)</f>
        <v>South</v>
      </c>
      <c r="R253" t="str">
        <f t="shared" si="14"/>
        <v>October</v>
      </c>
      <c r="S253">
        <f t="shared" si="15"/>
        <v>10</v>
      </c>
      <c r="T253" t="str">
        <f>VLOOKUP(C253,Customers!$A:$B,2,0)</f>
        <v>Myntra Fashion</v>
      </c>
    </row>
    <row r="254" spans="1:20">
      <c r="A254" t="s">
        <v>341</v>
      </c>
      <c r="B254" s="1">
        <v>45633</v>
      </c>
      <c r="C254" t="s">
        <v>106</v>
      </c>
      <c r="D254" t="s">
        <v>101</v>
      </c>
      <c r="E254" t="s">
        <v>62</v>
      </c>
      <c r="F254">
        <v>4</v>
      </c>
      <c r="G254">
        <v>288000</v>
      </c>
      <c r="H254">
        <v>140000</v>
      </c>
      <c r="I254">
        <v>148000</v>
      </c>
      <c r="J254">
        <v>10</v>
      </c>
      <c r="K254" t="s">
        <v>30</v>
      </c>
      <c r="L254" t="s">
        <v>31</v>
      </c>
      <c r="M254" t="s">
        <v>37</v>
      </c>
      <c r="N254">
        <v>24</v>
      </c>
      <c r="O254">
        <f t="shared" si="12"/>
        <v>51.39</v>
      </c>
      <c r="P254">
        <f t="shared" si="13"/>
        <v>72000</v>
      </c>
      <c r="Q254" t="str">
        <f>VLOOKUP(C254,Customers!$A:$D,3,0)</f>
        <v>North</v>
      </c>
      <c r="R254" t="str">
        <f t="shared" si="14"/>
        <v>December</v>
      </c>
      <c r="S254">
        <f t="shared" si="15"/>
        <v>12</v>
      </c>
      <c r="T254" t="str">
        <f>VLOOKUP(C254,Customers!$A:$B,2,0)</f>
        <v>Urban Company</v>
      </c>
    </row>
    <row r="255" spans="1:20">
      <c r="A255" t="s">
        <v>342</v>
      </c>
      <c r="B255" s="1">
        <v>45560</v>
      </c>
      <c r="C255" t="s">
        <v>29</v>
      </c>
      <c r="D255" t="s">
        <v>89</v>
      </c>
      <c r="E255" t="s">
        <v>45</v>
      </c>
      <c r="F255">
        <v>2</v>
      </c>
      <c r="G255">
        <v>304000</v>
      </c>
      <c r="H255">
        <v>140000</v>
      </c>
      <c r="I255">
        <v>164000</v>
      </c>
      <c r="J255">
        <v>5</v>
      </c>
      <c r="K255" t="s">
        <v>30</v>
      </c>
      <c r="L255" t="s">
        <v>51</v>
      </c>
      <c r="M255" t="s">
        <v>20</v>
      </c>
      <c r="N255">
        <v>24</v>
      </c>
      <c r="O255">
        <f t="shared" si="12"/>
        <v>53.95</v>
      </c>
      <c r="P255">
        <f t="shared" si="13"/>
        <v>152000</v>
      </c>
      <c r="Q255" t="str">
        <f>VLOOKUP(C255,Customers!$A:$D,3,0)</f>
        <v>South</v>
      </c>
      <c r="R255" t="str">
        <f t="shared" si="14"/>
        <v>September</v>
      </c>
      <c r="S255">
        <f t="shared" si="15"/>
        <v>9</v>
      </c>
      <c r="T255" t="str">
        <f>VLOOKUP(C255,Customers!$A:$B,2,0)</f>
        <v>Meesho Network</v>
      </c>
    </row>
    <row r="256" spans="1:20">
      <c r="A256" t="s">
        <v>343</v>
      </c>
      <c r="B256" s="1">
        <v>45415</v>
      </c>
      <c r="C256" t="s">
        <v>173</v>
      </c>
      <c r="D256" t="s">
        <v>61</v>
      </c>
      <c r="E256" t="s">
        <v>62</v>
      </c>
      <c r="F256">
        <v>4</v>
      </c>
      <c r="G256">
        <v>880000</v>
      </c>
      <c r="H256">
        <v>360000</v>
      </c>
      <c r="I256">
        <v>520000</v>
      </c>
      <c r="J256">
        <v>0</v>
      </c>
      <c r="K256" t="s">
        <v>25</v>
      </c>
      <c r="L256" t="s">
        <v>95</v>
      </c>
      <c r="M256" t="s">
        <v>59</v>
      </c>
      <c r="N256">
        <v>6</v>
      </c>
      <c r="O256">
        <f t="shared" si="12"/>
        <v>59.09</v>
      </c>
      <c r="P256">
        <f t="shared" si="13"/>
        <v>220000</v>
      </c>
      <c r="Q256" t="str">
        <f>VLOOKUP(C256,Customers!$A:$D,3,0)</f>
        <v>South</v>
      </c>
      <c r="R256" t="str">
        <f t="shared" si="14"/>
        <v>May</v>
      </c>
      <c r="S256">
        <f t="shared" si="15"/>
        <v>5</v>
      </c>
      <c r="T256" t="str">
        <f>VLOOKUP(C256,Customers!$A:$B,2,0)</f>
        <v>Byju's Learning</v>
      </c>
    </row>
    <row r="257" spans="1:20">
      <c r="A257" t="s">
        <v>344</v>
      </c>
      <c r="B257" s="1">
        <v>45588</v>
      </c>
      <c r="C257" t="s">
        <v>104</v>
      </c>
      <c r="D257" t="s">
        <v>23</v>
      </c>
      <c r="E257" t="s">
        <v>24</v>
      </c>
      <c r="F257">
        <v>4</v>
      </c>
      <c r="G257">
        <v>384000</v>
      </c>
      <c r="H257">
        <v>200000</v>
      </c>
      <c r="I257">
        <v>184000</v>
      </c>
      <c r="J257">
        <v>20</v>
      </c>
      <c r="K257" t="s">
        <v>30</v>
      </c>
      <c r="L257" t="s">
        <v>19</v>
      </c>
      <c r="M257" t="s">
        <v>20</v>
      </c>
      <c r="N257">
        <v>6</v>
      </c>
      <c r="O257">
        <f t="shared" si="12"/>
        <v>47.92</v>
      </c>
      <c r="P257">
        <f t="shared" si="13"/>
        <v>96000</v>
      </c>
      <c r="Q257" t="str">
        <f>VLOOKUP(C257,Customers!$A:$D,3,0)</f>
        <v>South</v>
      </c>
      <c r="R257" t="str">
        <f t="shared" si="14"/>
        <v>October</v>
      </c>
      <c r="S257">
        <f t="shared" si="15"/>
        <v>10</v>
      </c>
      <c r="T257" t="str">
        <f>VLOOKUP(C257,Customers!$A:$B,2,0)</f>
        <v>Ola Cabs</v>
      </c>
    </row>
    <row r="258" spans="1:20">
      <c r="A258" t="s">
        <v>345</v>
      </c>
      <c r="B258" s="1">
        <v>45648</v>
      </c>
      <c r="C258" t="s">
        <v>131</v>
      </c>
      <c r="D258" t="s">
        <v>67</v>
      </c>
      <c r="E258" t="s">
        <v>54</v>
      </c>
      <c r="F258">
        <v>1</v>
      </c>
      <c r="G258">
        <v>70400</v>
      </c>
      <c r="H258">
        <v>38000</v>
      </c>
      <c r="I258">
        <v>32400</v>
      </c>
      <c r="J258">
        <v>20</v>
      </c>
      <c r="K258" t="s">
        <v>30</v>
      </c>
      <c r="L258" t="s">
        <v>58</v>
      </c>
      <c r="M258" t="s">
        <v>20</v>
      </c>
      <c r="N258">
        <v>6</v>
      </c>
      <c r="O258">
        <f t="shared" si="12"/>
        <v>46.02</v>
      </c>
      <c r="P258">
        <f t="shared" si="13"/>
        <v>70400</v>
      </c>
      <c r="Q258" t="str">
        <f>VLOOKUP(C258,Customers!$A:$D,3,0)</f>
        <v>North</v>
      </c>
      <c r="R258" t="str">
        <f t="shared" si="14"/>
        <v>December</v>
      </c>
      <c r="S258">
        <f t="shared" si="15"/>
        <v>12</v>
      </c>
      <c r="T258" t="str">
        <f>VLOOKUP(C258,Customers!$A:$B,2,0)</f>
        <v>Lenskart Vision</v>
      </c>
    </row>
    <row r="259" spans="1:20">
      <c r="A259" t="s">
        <v>346</v>
      </c>
      <c r="B259" s="1">
        <v>45604</v>
      </c>
      <c r="C259" t="s">
        <v>173</v>
      </c>
      <c r="D259" t="s">
        <v>92</v>
      </c>
      <c r="E259" t="s">
        <v>24</v>
      </c>
      <c r="F259">
        <v>2</v>
      </c>
      <c r="G259">
        <v>360000</v>
      </c>
      <c r="H259">
        <v>160000</v>
      </c>
      <c r="I259">
        <v>200000</v>
      </c>
      <c r="J259">
        <v>0</v>
      </c>
      <c r="K259" t="s">
        <v>18</v>
      </c>
      <c r="L259" t="s">
        <v>19</v>
      </c>
      <c r="M259" t="s">
        <v>59</v>
      </c>
      <c r="N259">
        <v>6</v>
      </c>
      <c r="O259">
        <f t="shared" ref="O259:O322" si="16">ROUND((I259/G259)*100,2)</f>
        <v>55.56</v>
      </c>
      <c r="P259">
        <f t="shared" ref="P259:P322" si="17">ROUND(G259/F259,2)</f>
        <v>180000</v>
      </c>
      <c r="Q259" t="str">
        <f>VLOOKUP(C259,Customers!$A:$D,3,0)</f>
        <v>South</v>
      </c>
      <c r="R259" t="str">
        <f t="shared" ref="R259:R322" si="18">TEXT(B259,"MMMM")</f>
        <v>November</v>
      </c>
      <c r="S259">
        <f t="shared" ref="S259:S322" si="19">MONTH(B259)</f>
        <v>11</v>
      </c>
      <c r="T259" t="str">
        <f>VLOOKUP(C259,Customers!$A:$B,2,0)</f>
        <v>Byju's Learning</v>
      </c>
    </row>
    <row r="260" spans="1:20">
      <c r="A260" t="s">
        <v>347</v>
      </c>
      <c r="B260" s="1">
        <v>45648</v>
      </c>
      <c r="C260" t="s">
        <v>73</v>
      </c>
      <c r="D260" t="s">
        <v>154</v>
      </c>
      <c r="E260" t="s">
        <v>45</v>
      </c>
      <c r="F260">
        <v>2</v>
      </c>
      <c r="G260">
        <v>234000</v>
      </c>
      <c r="H260">
        <v>110000</v>
      </c>
      <c r="I260">
        <v>124000</v>
      </c>
      <c r="J260">
        <v>10</v>
      </c>
      <c r="K260" t="s">
        <v>30</v>
      </c>
      <c r="L260" t="s">
        <v>97</v>
      </c>
      <c r="M260" t="s">
        <v>59</v>
      </c>
      <c r="N260">
        <v>24</v>
      </c>
      <c r="O260">
        <f t="shared" si="16"/>
        <v>52.99</v>
      </c>
      <c r="P260">
        <f t="shared" si="17"/>
        <v>117000</v>
      </c>
      <c r="Q260" t="str">
        <f>VLOOKUP(C260,Customers!$A:$D,3,0)</f>
        <v>West</v>
      </c>
      <c r="R260" t="str">
        <f t="shared" si="18"/>
        <v>December</v>
      </c>
      <c r="S260">
        <f t="shared" si="19"/>
        <v>12</v>
      </c>
      <c r="T260" t="str">
        <f>VLOOKUP(C260,Customers!$A:$B,2,0)</f>
        <v>ICICI Tech</v>
      </c>
    </row>
    <row r="261" spans="1:20">
      <c r="A261" t="s">
        <v>348</v>
      </c>
      <c r="B261" s="1">
        <v>45565</v>
      </c>
      <c r="C261" t="s">
        <v>173</v>
      </c>
      <c r="D261" t="s">
        <v>50</v>
      </c>
      <c r="E261" t="s">
        <v>17</v>
      </c>
      <c r="F261">
        <v>3</v>
      </c>
      <c r="G261">
        <v>135000</v>
      </c>
      <c r="H261">
        <v>60000</v>
      </c>
      <c r="I261">
        <v>75000</v>
      </c>
      <c r="J261">
        <v>10</v>
      </c>
      <c r="K261" t="s">
        <v>30</v>
      </c>
      <c r="L261" t="s">
        <v>47</v>
      </c>
      <c r="M261" t="s">
        <v>27</v>
      </c>
      <c r="N261">
        <v>24</v>
      </c>
      <c r="O261">
        <f t="shared" si="16"/>
        <v>55.56</v>
      </c>
      <c r="P261">
        <f t="shared" si="17"/>
        <v>45000</v>
      </c>
      <c r="Q261" t="str">
        <f>VLOOKUP(C261,Customers!$A:$D,3,0)</f>
        <v>South</v>
      </c>
      <c r="R261" t="str">
        <f t="shared" si="18"/>
        <v>September</v>
      </c>
      <c r="S261">
        <f t="shared" si="19"/>
        <v>9</v>
      </c>
      <c r="T261" t="str">
        <f>VLOOKUP(C261,Customers!$A:$B,2,0)</f>
        <v>Byju's Learning</v>
      </c>
    </row>
    <row r="262" spans="1:20">
      <c r="A262" t="s">
        <v>349</v>
      </c>
      <c r="B262" s="1">
        <v>45455</v>
      </c>
      <c r="C262" t="s">
        <v>115</v>
      </c>
      <c r="D262" t="s">
        <v>35</v>
      </c>
      <c r="E262" t="s">
        <v>36</v>
      </c>
      <c r="F262">
        <v>4</v>
      </c>
      <c r="G262">
        <v>260000</v>
      </c>
      <c r="H262">
        <v>112000</v>
      </c>
      <c r="I262">
        <v>148000</v>
      </c>
      <c r="J262">
        <v>0</v>
      </c>
      <c r="K262" t="s">
        <v>25</v>
      </c>
      <c r="L262" t="s">
        <v>58</v>
      </c>
      <c r="M262" t="s">
        <v>32</v>
      </c>
      <c r="N262">
        <v>3</v>
      </c>
      <c r="O262">
        <f t="shared" si="16"/>
        <v>56.92</v>
      </c>
      <c r="P262">
        <f t="shared" si="17"/>
        <v>65000</v>
      </c>
      <c r="Q262" t="str">
        <f>VLOOKUP(C262,Customers!$A:$D,3,0)</f>
        <v>North</v>
      </c>
      <c r="R262" t="str">
        <f t="shared" si="18"/>
        <v>June</v>
      </c>
      <c r="S262">
        <f t="shared" si="19"/>
        <v>6</v>
      </c>
      <c r="T262" t="str">
        <f>VLOOKUP(C262,Customers!$A:$B,2,0)</f>
        <v>Paytm Services</v>
      </c>
    </row>
    <row r="263" spans="1:20">
      <c r="A263" t="s">
        <v>350</v>
      </c>
      <c r="B263" s="1">
        <v>45425</v>
      </c>
      <c r="C263" t="s">
        <v>106</v>
      </c>
      <c r="D263" t="s">
        <v>82</v>
      </c>
      <c r="E263" t="s">
        <v>54</v>
      </c>
      <c r="F263">
        <v>4</v>
      </c>
      <c r="G263">
        <v>551000</v>
      </c>
      <c r="H263">
        <v>240000</v>
      </c>
      <c r="I263">
        <v>311000</v>
      </c>
      <c r="J263">
        <v>5</v>
      </c>
      <c r="K263" t="s">
        <v>30</v>
      </c>
      <c r="L263" t="s">
        <v>58</v>
      </c>
      <c r="M263" t="s">
        <v>37</v>
      </c>
      <c r="N263">
        <v>6</v>
      </c>
      <c r="O263">
        <f t="shared" si="16"/>
        <v>56.44</v>
      </c>
      <c r="P263">
        <f t="shared" si="17"/>
        <v>137750</v>
      </c>
      <c r="Q263" t="str">
        <f>VLOOKUP(C263,Customers!$A:$D,3,0)</f>
        <v>North</v>
      </c>
      <c r="R263" t="str">
        <f t="shared" si="18"/>
        <v>May</v>
      </c>
      <c r="S263">
        <f t="shared" si="19"/>
        <v>5</v>
      </c>
      <c r="T263" t="str">
        <f>VLOOKUP(C263,Customers!$A:$B,2,0)</f>
        <v>Urban Company</v>
      </c>
    </row>
    <row r="264" spans="1:20">
      <c r="A264" t="s">
        <v>351</v>
      </c>
      <c r="B264" s="1">
        <v>45486</v>
      </c>
      <c r="C264" t="s">
        <v>65</v>
      </c>
      <c r="D264" t="s">
        <v>76</v>
      </c>
      <c r="E264" t="s">
        <v>41</v>
      </c>
      <c r="F264">
        <v>5</v>
      </c>
      <c r="G264">
        <v>178500</v>
      </c>
      <c r="H264">
        <v>90000</v>
      </c>
      <c r="I264">
        <v>88500</v>
      </c>
      <c r="J264">
        <v>15</v>
      </c>
      <c r="K264" t="s">
        <v>18</v>
      </c>
      <c r="L264" t="s">
        <v>70</v>
      </c>
      <c r="M264" t="s">
        <v>37</v>
      </c>
      <c r="N264">
        <v>24</v>
      </c>
      <c r="O264">
        <f t="shared" si="16"/>
        <v>49.58</v>
      </c>
      <c r="P264">
        <f t="shared" si="17"/>
        <v>35700</v>
      </c>
      <c r="Q264" t="str">
        <f>VLOOKUP(C264,Customers!$A:$D,3,0)</f>
        <v>North</v>
      </c>
      <c r="R264" t="str">
        <f t="shared" si="18"/>
        <v>July</v>
      </c>
      <c r="S264">
        <f t="shared" si="19"/>
        <v>7</v>
      </c>
      <c r="T264" t="str">
        <f>VLOOKUP(C264,Customers!$A:$B,2,0)</f>
        <v>Zomato Pvt Ltd</v>
      </c>
    </row>
    <row r="265" spans="1:20">
      <c r="A265" t="s">
        <v>352</v>
      </c>
      <c r="B265" s="1">
        <v>45620</v>
      </c>
      <c r="C265" t="s">
        <v>79</v>
      </c>
      <c r="D265" t="s">
        <v>101</v>
      </c>
      <c r="E265" t="s">
        <v>62</v>
      </c>
      <c r="F265">
        <v>3</v>
      </c>
      <c r="G265">
        <v>240000</v>
      </c>
      <c r="H265">
        <v>105000</v>
      </c>
      <c r="I265">
        <v>135000</v>
      </c>
      <c r="J265">
        <v>0</v>
      </c>
      <c r="K265" t="s">
        <v>30</v>
      </c>
      <c r="L265" t="s">
        <v>63</v>
      </c>
      <c r="M265" t="s">
        <v>59</v>
      </c>
      <c r="N265">
        <v>6</v>
      </c>
      <c r="O265">
        <f t="shared" si="16"/>
        <v>56.25</v>
      </c>
      <c r="P265">
        <f t="shared" si="17"/>
        <v>80000</v>
      </c>
      <c r="Q265" t="str">
        <f>VLOOKUP(C265,Customers!$A:$D,3,0)</f>
        <v>West</v>
      </c>
      <c r="R265" t="str">
        <f t="shared" si="18"/>
        <v>November</v>
      </c>
      <c r="S265">
        <f t="shared" si="19"/>
        <v>11</v>
      </c>
      <c r="T265" t="str">
        <f>VLOOKUP(C265,Customers!$A:$B,2,0)</f>
        <v>Dream11 Sports</v>
      </c>
    </row>
    <row r="266" spans="1:20">
      <c r="A266" t="s">
        <v>353</v>
      </c>
      <c r="B266" s="1">
        <v>45569</v>
      </c>
      <c r="C266" t="s">
        <v>99</v>
      </c>
      <c r="D266" t="s">
        <v>80</v>
      </c>
      <c r="E266" t="s">
        <v>41</v>
      </c>
      <c r="F266">
        <v>1</v>
      </c>
      <c r="G266">
        <v>41600</v>
      </c>
      <c r="H266">
        <v>22000</v>
      </c>
      <c r="I266">
        <v>19600</v>
      </c>
      <c r="J266">
        <v>20</v>
      </c>
      <c r="K266" t="s">
        <v>30</v>
      </c>
      <c r="L266" t="s">
        <v>31</v>
      </c>
      <c r="M266" t="s">
        <v>27</v>
      </c>
      <c r="N266">
        <v>24</v>
      </c>
      <c r="O266">
        <f t="shared" si="16"/>
        <v>47.12</v>
      </c>
      <c r="P266">
        <f t="shared" si="17"/>
        <v>41600</v>
      </c>
      <c r="Q266" t="str">
        <f>VLOOKUP(C266,Customers!$A:$D,3,0)</f>
        <v>West</v>
      </c>
      <c r="R266" t="str">
        <f t="shared" si="18"/>
        <v>October</v>
      </c>
      <c r="S266">
        <f t="shared" si="19"/>
        <v>10</v>
      </c>
      <c r="T266" t="str">
        <f>VLOOKUP(C266,Customers!$A:$B,2,0)</f>
        <v>Tata Consultancy</v>
      </c>
    </row>
    <row r="267" spans="1:20">
      <c r="A267" t="s">
        <v>354</v>
      </c>
      <c r="B267" s="1">
        <v>45362</v>
      </c>
      <c r="C267" t="s">
        <v>65</v>
      </c>
      <c r="D267" t="s">
        <v>23</v>
      </c>
      <c r="E267" t="s">
        <v>24</v>
      </c>
      <c r="F267">
        <v>2</v>
      </c>
      <c r="G267">
        <v>240000</v>
      </c>
      <c r="H267">
        <v>100000</v>
      </c>
      <c r="I267">
        <v>140000</v>
      </c>
      <c r="J267">
        <v>0</v>
      </c>
      <c r="K267" t="s">
        <v>30</v>
      </c>
      <c r="L267" t="s">
        <v>63</v>
      </c>
      <c r="M267" t="s">
        <v>59</v>
      </c>
      <c r="N267">
        <v>12</v>
      </c>
      <c r="O267">
        <f t="shared" si="16"/>
        <v>58.33</v>
      </c>
      <c r="P267">
        <f t="shared" si="17"/>
        <v>120000</v>
      </c>
      <c r="Q267" t="str">
        <f>VLOOKUP(C267,Customers!$A:$D,3,0)</f>
        <v>North</v>
      </c>
      <c r="R267" t="str">
        <f t="shared" si="18"/>
        <v>March</v>
      </c>
      <c r="S267">
        <f t="shared" si="19"/>
        <v>3</v>
      </c>
      <c r="T267" t="str">
        <f>VLOOKUP(C267,Customers!$A:$B,2,0)</f>
        <v>Zomato Pvt Ltd</v>
      </c>
    </row>
    <row r="268" spans="1:20">
      <c r="A268" t="s">
        <v>355</v>
      </c>
      <c r="B268" s="1">
        <v>45322</v>
      </c>
      <c r="C268" t="s">
        <v>49</v>
      </c>
      <c r="D268" t="s">
        <v>67</v>
      </c>
      <c r="E268" t="s">
        <v>54</v>
      </c>
      <c r="F268">
        <v>4</v>
      </c>
      <c r="G268">
        <v>299200</v>
      </c>
      <c r="H268">
        <v>152000</v>
      </c>
      <c r="I268">
        <v>147200</v>
      </c>
      <c r="J268">
        <v>15</v>
      </c>
      <c r="K268" t="s">
        <v>30</v>
      </c>
      <c r="L268" t="s">
        <v>31</v>
      </c>
      <c r="M268" t="s">
        <v>27</v>
      </c>
      <c r="N268">
        <v>24</v>
      </c>
      <c r="O268">
        <f t="shared" si="16"/>
        <v>49.2</v>
      </c>
      <c r="P268">
        <f t="shared" si="17"/>
        <v>74800</v>
      </c>
      <c r="Q268" t="str">
        <f>VLOOKUP(C268,Customers!$A:$D,3,0)</f>
        <v>South</v>
      </c>
      <c r="R268" t="str">
        <f t="shared" si="18"/>
        <v>January</v>
      </c>
      <c r="S268">
        <f t="shared" si="19"/>
        <v>1</v>
      </c>
      <c r="T268" t="str">
        <f>VLOOKUP(C268,Customers!$A:$B,2,0)</f>
        <v>Myntra Fashion</v>
      </c>
    </row>
    <row r="269" spans="1:20">
      <c r="A269" t="s">
        <v>356</v>
      </c>
      <c r="B269" s="1">
        <v>45654</v>
      </c>
      <c r="C269" t="s">
        <v>15</v>
      </c>
      <c r="D269" t="s">
        <v>53</v>
      </c>
      <c r="E269" t="s">
        <v>54</v>
      </c>
      <c r="F269">
        <v>3</v>
      </c>
      <c r="G269">
        <v>600000</v>
      </c>
      <c r="H269">
        <v>255000</v>
      </c>
      <c r="I269">
        <v>345000</v>
      </c>
      <c r="J269">
        <v>0</v>
      </c>
      <c r="K269" t="s">
        <v>25</v>
      </c>
      <c r="L269" t="s">
        <v>95</v>
      </c>
      <c r="M269" t="s">
        <v>32</v>
      </c>
      <c r="N269">
        <v>3</v>
      </c>
      <c r="O269">
        <f t="shared" si="16"/>
        <v>57.5</v>
      </c>
      <c r="P269">
        <f t="shared" si="17"/>
        <v>200000</v>
      </c>
      <c r="Q269" t="str">
        <f>VLOOKUP(C269,Customers!$A:$D,3,0)</f>
        <v>South</v>
      </c>
      <c r="R269" t="str">
        <f t="shared" si="18"/>
        <v>December</v>
      </c>
      <c r="S269">
        <f t="shared" si="19"/>
        <v>12</v>
      </c>
      <c r="T269" t="str">
        <f>VLOOKUP(C269,Customers!$A:$B,2,0)</f>
        <v>Swiggy Inc</v>
      </c>
    </row>
    <row r="270" spans="1:20">
      <c r="A270" t="s">
        <v>357</v>
      </c>
      <c r="B270" s="1">
        <v>45341</v>
      </c>
      <c r="C270" t="s">
        <v>65</v>
      </c>
      <c r="D270" t="s">
        <v>57</v>
      </c>
      <c r="E270" t="s">
        <v>17</v>
      </c>
      <c r="F270">
        <v>5</v>
      </c>
      <c r="G270">
        <v>270000</v>
      </c>
      <c r="H270">
        <v>125000</v>
      </c>
      <c r="I270">
        <v>145000</v>
      </c>
      <c r="J270">
        <v>10</v>
      </c>
      <c r="K270" t="s">
        <v>30</v>
      </c>
      <c r="L270" t="s">
        <v>70</v>
      </c>
      <c r="M270" t="s">
        <v>37</v>
      </c>
      <c r="N270">
        <v>24</v>
      </c>
      <c r="O270">
        <f t="shared" si="16"/>
        <v>53.7</v>
      </c>
      <c r="P270">
        <f t="shared" si="17"/>
        <v>54000</v>
      </c>
      <c r="Q270" t="str">
        <f>VLOOKUP(C270,Customers!$A:$D,3,0)</f>
        <v>North</v>
      </c>
      <c r="R270" t="str">
        <f t="shared" si="18"/>
        <v>February</v>
      </c>
      <c r="S270">
        <f t="shared" si="19"/>
        <v>2</v>
      </c>
      <c r="T270" t="str">
        <f>VLOOKUP(C270,Customers!$A:$B,2,0)</f>
        <v>Zomato Pvt Ltd</v>
      </c>
    </row>
    <row r="271" spans="1:20">
      <c r="A271" t="s">
        <v>358</v>
      </c>
      <c r="B271" s="1">
        <v>45332</v>
      </c>
      <c r="C271" t="s">
        <v>143</v>
      </c>
      <c r="D271" t="s">
        <v>40</v>
      </c>
      <c r="E271" t="s">
        <v>41</v>
      </c>
      <c r="F271">
        <v>5</v>
      </c>
      <c r="G271">
        <v>175000</v>
      </c>
      <c r="H271">
        <v>75000</v>
      </c>
      <c r="I271">
        <v>100000</v>
      </c>
      <c r="J271">
        <v>0</v>
      </c>
      <c r="K271" t="s">
        <v>18</v>
      </c>
      <c r="L271" t="s">
        <v>58</v>
      </c>
      <c r="M271" t="s">
        <v>37</v>
      </c>
      <c r="N271">
        <v>3</v>
      </c>
      <c r="O271">
        <f t="shared" si="16"/>
        <v>57.14</v>
      </c>
      <c r="P271">
        <f t="shared" si="17"/>
        <v>35000</v>
      </c>
      <c r="Q271" t="str">
        <f>VLOOKUP(C271,Customers!$A:$D,3,0)</f>
        <v>North</v>
      </c>
      <c r="R271" t="str">
        <f t="shared" si="18"/>
        <v>February</v>
      </c>
      <c r="S271">
        <f t="shared" si="19"/>
        <v>2</v>
      </c>
      <c r="T271" t="str">
        <f>VLOOKUP(C271,Customers!$A:$B,2,0)</f>
        <v>Nykaa Fashion</v>
      </c>
    </row>
    <row r="272" spans="1:20">
      <c r="A272" t="s">
        <v>359</v>
      </c>
      <c r="B272" s="1">
        <v>45626</v>
      </c>
      <c r="C272" t="s">
        <v>158</v>
      </c>
      <c r="D272" t="s">
        <v>86</v>
      </c>
      <c r="E272" t="s">
        <v>24</v>
      </c>
      <c r="F272">
        <v>1</v>
      </c>
      <c r="G272">
        <v>133000</v>
      </c>
      <c r="H272">
        <v>60000</v>
      </c>
      <c r="I272">
        <v>73000</v>
      </c>
      <c r="J272">
        <v>5</v>
      </c>
      <c r="K272" t="s">
        <v>30</v>
      </c>
      <c r="L272" t="s">
        <v>95</v>
      </c>
      <c r="M272" t="s">
        <v>20</v>
      </c>
      <c r="N272">
        <v>24</v>
      </c>
      <c r="O272">
        <f t="shared" si="16"/>
        <v>54.89</v>
      </c>
      <c r="P272">
        <f t="shared" si="17"/>
        <v>133000</v>
      </c>
      <c r="Q272" t="str">
        <f>VLOOKUP(C272,Customers!$A:$D,3,0)</f>
        <v>West</v>
      </c>
      <c r="R272" t="str">
        <f t="shared" si="18"/>
        <v>November</v>
      </c>
      <c r="S272">
        <f t="shared" si="19"/>
        <v>11</v>
      </c>
      <c r="T272" t="str">
        <f>VLOOKUP(C272,Customers!$A:$B,2,0)</f>
        <v>Tanishq Retail</v>
      </c>
    </row>
    <row r="273" spans="1:20">
      <c r="A273" t="s">
        <v>360</v>
      </c>
      <c r="B273" s="1">
        <v>45320</v>
      </c>
      <c r="C273" t="s">
        <v>167</v>
      </c>
      <c r="D273" t="s">
        <v>101</v>
      </c>
      <c r="E273" t="s">
        <v>62</v>
      </c>
      <c r="F273">
        <v>1</v>
      </c>
      <c r="G273">
        <v>76000</v>
      </c>
      <c r="H273">
        <v>35000</v>
      </c>
      <c r="I273">
        <v>41000</v>
      </c>
      <c r="J273">
        <v>5</v>
      </c>
      <c r="K273" t="s">
        <v>30</v>
      </c>
      <c r="L273" t="s">
        <v>70</v>
      </c>
      <c r="M273" t="s">
        <v>20</v>
      </c>
      <c r="N273">
        <v>3</v>
      </c>
      <c r="O273">
        <f t="shared" si="16"/>
        <v>53.95</v>
      </c>
      <c r="P273">
        <f t="shared" si="17"/>
        <v>76000</v>
      </c>
      <c r="Q273" t="str">
        <f>VLOOKUP(C273,Customers!$A:$D,3,0)</f>
        <v>South</v>
      </c>
      <c r="R273" t="str">
        <f t="shared" si="18"/>
        <v>January</v>
      </c>
      <c r="S273">
        <f t="shared" si="19"/>
        <v>1</v>
      </c>
      <c r="T273" t="str">
        <f>VLOOKUP(C273,Customers!$A:$B,2,0)</f>
        <v>Flipkart India</v>
      </c>
    </row>
    <row r="274" spans="1:20">
      <c r="A274" t="s">
        <v>361</v>
      </c>
      <c r="B274" s="1">
        <v>45562</v>
      </c>
      <c r="C274" t="s">
        <v>65</v>
      </c>
      <c r="D274" t="s">
        <v>57</v>
      </c>
      <c r="E274" t="s">
        <v>17</v>
      </c>
      <c r="F274">
        <v>5</v>
      </c>
      <c r="G274">
        <v>285000</v>
      </c>
      <c r="H274">
        <v>125000</v>
      </c>
      <c r="I274">
        <v>160000</v>
      </c>
      <c r="J274">
        <v>5</v>
      </c>
      <c r="K274" t="s">
        <v>30</v>
      </c>
      <c r="L274" t="s">
        <v>31</v>
      </c>
      <c r="M274" t="s">
        <v>27</v>
      </c>
      <c r="N274">
        <v>12</v>
      </c>
      <c r="O274">
        <f t="shared" si="16"/>
        <v>56.14</v>
      </c>
      <c r="P274">
        <f t="shared" si="17"/>
        <v>57000</v>
      </c>
      <c r="Q274" t="str">
        <f>VLOOKUP(C274,Customers!$A:$D,3,0)</f>
        <v>North</v>
      </c>
      <c r="R274" t="str">
        <f t="shared" si="18"/>
        <v>September</v>
      </c>
      <c r="S274">
        <f t="shared" si="19"/>
        <v>9</v>
      </c>
      <c r="T274" t="str">
        <f>VLOOKUP(C274,Customers!$A:$B,2,0)</f>
        <v>Zomato Pvt Ltd</v>
      </c>
    </row>
    <row r="275" spans="1:20">
      <c r="A275" t="s">
        <v>362</v>
      </c>
      <c r="B275" s="1">
        <v>45570</v>
      </c>
      <c r="C275" t="s">
        <v>99</v>
      </c>
      <c r="D275" t="s">
        <v>101</v>
      </c>
      <c r="E275" t="s">
        <v>62</v>
      </c>
      <c r="F275">
        <v>3</v>
      </c>
      <c r="G275">
        <v>240000</v>
      </c>
      <c r="H275">
        <v>105000</v>
      </c>
      <c r="I275">
        <v>135000</v>
      </c>
      <c r="J275">
        <v>0</v>
      </c>
      <c r="K275" t="s">
        <v>30</v>
      </c>
      <c r="L275" t="s">
        <v>26</v>
      </c>
      <c r="M275" t="s">
        <v>32</v>
      </c>
      <c r="N275">
        <v>24</v>
      </c>
      <c r="O275">
        <f t="shared" si="16"/>
        <v>56.25</v>
      </c>
      <c r="P275">
        <f t="shared" si="17"/>
        <v>80000</v>
      </c>
      <c r="Q275" t="str">
        <f>VLOOKUP(C275,Customers!$A:$D,3,0)</f>
        <v>West</v>
      </c>
      <c r="R275" t="str">
        <f t="shared" si="18"/>
        <v>October</v>
      </c>
      <c r="S275">
        <f t="shared" si="19"/>
        <v>10</v>
      </c>
      <c r="T275" t="str">
        <f>VLOOKUP(C275,Customers!$A:$B,2,0)</f>
        <v>Tata Consultancy</v>
      </c>
    </row>
    <row r="276" spans="1:20">
      <c r="A276" t="s">
        <v>363</v>
      </c>
      <c r="B276" s="1">
        <v>45634</v>
      </c>
      <c r="C276" t="s">
        <v>65</v>
      </c>
      <c r="D276" t="s">
        <v>82</v>
      </c>
      <c r="E276" t="s">
        <v>54</v>
      </c>
      <c r="F276">
        <v>4</v>
      </c>
      <c r="G276">
        <v>493000</v>
      </c>
      <c r="H276">
        <v>240000</v>
      </c>
      <c r="I276">
        <v>253000</v>
      </c>
      <c r="J276">
        <v>15</v>
      </c>
      <c r="K276" t="s">
        <v>25</v>
      </c>
      <c r="L276" t="s">
        <v>70</v>
      </c>
      <c r="M276" t="s">
        <v>59</v>
      </c>
      <c r="N276">
        <v>6</v>
      </c>
      <c r="O276">
        <f t="shared" si="16"/>
        <v>51.32</v>
      </c>
      <c r="P276">
        <f t="shared" si="17"/>
        <v>123250</v>
      </c>
      <c r="Q276" t="str">
        <f>VLOOKUP(C276,Customers!$A:$D,3,0)</f>
        <v>North</v>
      </c>
      <c r="R276" t="str">
        <f t="shared" si="18"/>
        <v>December</v>
      </c>
      <c r="S276">
        <f t="shared" si="19"/>
        <v>12</v>
      </c>
      <c r="T276" t="str">
        <f>VLOOKUP(C276,Customers!$A:$B,2,0)</f>
        <v>Zomato Pvt Ltd</v>
      </c>
    </row>
    <row r="277" spans="1:20">
      <c r="A277" t="s">
        <v>364</v>
      </c>
      <c r="B277" s="1">
        <v>45644</v>
      </c>
      <c r="C277" t="s">
        <v>124</v>
      </c>
      <c r="D277" t="s">
        <v>44</v>
      </c>
      <c r="E277" t="s">
        <v>45</v>
      </c>
      <c r="F277">
        <v>1</v>
      </c>
      <c r="G277">
        <v>280000</v>
      </c>
      <c r="H277">
        <v>120000</v>
      </c>
      <c r="I277">
        <v>160000</v>
      </c>
      <c r="J277">
        <v>0</v>
      </c>
      <c r="K277" t="s">
        <v>30</v>
      </c>
      <c r="L277" t="s">
        <v>58</v>
      </c>
      <c r="M277" t="s">
        <v>27</v>
      </c>
      <c r="N277">
        <v>12</v>
      </c>
      <c r="O277">
        <f t="shared" si="16"/>
        <v>57.14</v>
      </c>
      <c r="P277">
        <f t="shared" si="17"/>
        <v>280000</v>
      </c>
      <c r="Q277" t="str">
        <f>VLOOKUP(C277,Customers!$A:$D,3,0)</f>
        <v>South</v>
      </c>
      <c r="R277" t="str">
        <f t="shared" si="18"/>
        <v>December</v>
      </c>
      <c r="S277">
        <f t="shared" si="19"/>
        <v>12</v>
      </c>
      <c r="T277" t="str">
        <f>VLOOKUP(C277,Customers!$A:$B,2,0)</f>
        <v>Zerodha Capital</v>
      </c>
    </row>
    <row r="278" spans="1:20">
      <c r="A278" t="s">
        <v>365</v>
      </c>
      <c r="B278" s="1">
        <v>45601</v>
      </c>
      <c r="C278" t="s">
        <v>131</v>
      </c>
      <c r="D278" t="s">
        <v>154</v>
      </c>
      <c r="E278" t="s">
        <v>45</v>
      </c>
      <c r="F278">
        <v>3</v>
      </c>
      <c r="G278">
        <v>390000</v>
      </c>
      <c r="H278">
        <v>165000</v>
      </c>
      <c r="I278">
        <v>225000</v>
      </c>
      <c r="J278">
        <v>0</v>
      </c>
      <c r="K278" t="s">
        <v>18</v>
      </c>
      <c r="L278" t="s">
        <v>97</v>
      </c>
      <c r="M278" t="s">
        <v>59</v>
      </c>
      <c r="N278">
        <v>24</v>
      </c>
      <c r="O278">
        <f t="shared" si="16"/>
        <v>57.69</v>
      </c>
      <c r="P278">
        <f t="shared" si="17"/>
        <v>130000</v>
      </c>
      <c r="Q278" t="str">
        <f>VLOOKUP(C278,Customers!$A:$D,3,0)</f>
        <v>North</v>
      </c>
      <c r="R278" t="str">
        <f t="shared" si="18"/>
        <v>November</v>
      </c>
      <c r="S278">
        <f t="shared" si="19"/>
        <v>11</v>
      </c>
      <c r="T278" t="str">
        <f>VLOOKUP(C278,Customers!$A:$B,2,0)</f>
        <v>Lenskart Vision</v>
      </c>
    </row>
    <row r="279" spans="1:20">
      <c r="A279" t="s">
        <v>366</v>
      </c>
      <c r="B279" s="1">
        <v>45408</v>
      </c>
      <c r="C279" t="s">
        <v>143</v>
      </c>
      <c r="D279" t="s">
        <v>89</v>
      </c>
      <c r="E279" t="s">
        <v>45</v>
      </c>
      <c r="F279">
        <v>2</v>
      </c>
      <c r="G279">
        <v>272000</v>
      </c>
      <c r="H279">
        <v>140000</v>
      </c>
      <c r="I279">
        <v>132000</v>
      </c>
      <c r="J279">
        <v>15</v>
      </c>
      <c r="K279" t="s">
        <v>25</v>
      </c>
      <c r="L279" t="s">
        <v>95</v>
      </c>
      <c r="M279" t="s">
        <v>27</v>
      </c>
      <c r="N279">
        <v>12</v>
      </c>
      <c r="O279">
        <f t="shared" si="16"/>
        <v>48.53</v>
      </c>
      <c r="P279">
        <f t="shared" si="17"/>
        <v>136000</v>
      </c>
      <c r="Q279" t="str">
        <f>VLOOKUP(C279,Customers!$A:$D,3,0)</f>
        <v>North</v>
      </c>
      <c r="R279" t="str">
        <f t="shared" si="18"/>
        <v>April</v>
      </c>
      <c r="S279">
        <f t="shared" si="19"/>
        <v>4</v>
      </c>
      <c r="T279" t="str">
        <f>VLOOKUP(C279,Customers!$A:$B,2,0)</f>
        <v>Nykaa Fashion</v>
      </c>
    </row>
    <row r="280" spans="1:20">
      <c r="A280" t="s">
        <v>367</v>
      </c>
      <c r="B280" s="1">
        <v>45418</v>
      </c>
      <c r="C280" t="s">
        <v>56</v>
      </c>
      <c r="D280" t="s">
        <v>50</v>
      </c>
      <c r="E280" t="s">
        <v>17</v>
      </c>
      <c r="F280">
        <v>2</v>
      </c>
      <c r="G280">
        <v>95000</v>
      </c>
      <c r="H280">
        <v>40000</v>
      </c>
      <c r="I280">
        <v>55000</v>
      </c>
      <c r="J280">
        <v>5</v>
      </c>
      <c r="K280" t="s">
        <v>18</v>
      </c>
      <c r="L280" t="s">
        <v>51</v>
      </c>
      <c r="M280" t="s">
        <v>59</v>
      </c>
      <c r="N280">
        <v>12</v>
      </c>
      <c r="O280">
        <f t="shared" si="16"/>
        <v>57.89</v>
      </c>
      <c r="P280">
        <f t="shared" si="17"/>
        <v>47500</v>
      </c>
      <c r="Q280" t="str">
        <f>VLOOKUP(C280,Customers!$A:$D,3,0)</f>
        <v>South</v>
      </c>
      <c r="R280" t="str">
        <f t="shared" si="18"/>
        <v>May</v>
      </c>
      <c r="S280">
        <f t="shared" si="19"/>
        <v>5</v>
      </c>
      <c r="T280" t="str">
        <f>VLOOKUP(C280,Customers!$A:$B,2,0)</f>
        <v>Wipro Technologies</v>
      </c>
    </row>
    <row r="281" spans="1:20">
      <c r="A281" t="s">
        <v>368</v>
      </c>
      <c r="B281" s="1">
        <v>45562</v>
      </c>
      <c r="C281" t="s">
        <v>173</v>
      </c>
      <c r="D281" t="s">
        <v>40</v>
      </c>
      <c r="E281" t="s">
        <v>41</v>
      </c>
      <c r="F281">
        <v>3</v>
      </c>
      <c r="G281">
        <v>84000</v>
      </c>
      <c r="H281">
        <v>45000</v>
      </c>
      <c r="I281">
        <v>39000</v>
      </c>
      <c r="J281">
        <v>20</v>
      </c>
      <c r="K281" t="s">
        <v>30</v>
      </c>
      <c r="L281" t="s">
        <v>19</v>
      </c>
      <c r="M281" t="s">
        <v>32</v>
      </c>
      <c r="N281">
        <v>3</v>
      </c>
      <c r="O281">
        <f t="shared" si="16"/>
        <v>46.43</v>
      </c>
      <c r="P281">
        <f t="shared" si="17"/>
        <v>28000</v>
      </c>
      <c r="Q281" t="str">
        <f>VLOOKUP(C281,Customers!$A:$D,3,0)</f>
        <v>South</v>
      </c>
      <c r="R281" t="str">
        <f t="shared" si="18"/>
        <v>September</v>
      </c>
      <c r="S281">
        <f t="shared" si="19"/>
        <v>9</v>
      </c>
      <c r="T281" t="str">
        <f>VLOOKUP(C281,Customers!$A:$B,2,0)</f>
        <v>Byju's Learning</v>
      </c>
    </row>
    <row r="282" spans="1:20">
      <c r="A282" t="s">
        <v>369</v>
      </c>
      <c r="B282" s="1">
        <v>45387</v>
      </c>
      <c r="C282" t="s">
        <v>91</v>
      </c>
      <c r="D282" t="s">
        <v>53</v>
      </c>
      <c r="E282" t="s">
        <v>54</v>
      </c>
      <c r="F282">
        <v>5</v>
      </c>
      <c r="G282">
        <v>950000</v>
      </c>
      <c r="H282">
        <v>425000</v>
      </c>
      <c r="I282">
        <v>525000</v>
      </c>
      <c r="J282">
        <v>5</v>
      </c>
      <c r="K282" t="s">
        <v>30</v>
      </c>
      <c r="L282" t="s">
        <v>31</v>
      </c>
      <c r="M282" t="s">
        <v>27</v>
      </c>
      <c r="N282">
        <v>12</v>
      </c>
      <c r="O282">
        <f t="shared" si="16"/>
        <v>55.26</v>
      </c>
      <c r="P282">
        <f t="shared" si="17"/>
        <v>190000</v>
      </c>
      <c r="Q282" t="str">
        <f>VLOOKUP(C282,Customers!$A:$D,3,0)</f>
        <v>South</v>
      </c>
      <c r="R282" t="str">
        <f t="shared" si="18"/>
        <v>April</v>
      </c>
      <c r="S282">
        <f t="shared" si="19"/>
        <v>4</v>
      </c>
      <c r="T282" t="str">
        <f>VLOOKUP(C282,Customers!$A:$B,2,0)</f>
        <v>CRED Fintech</v>
      </c>
    </row>
    <row r="283" spans="1:20">
      <c r="A283" t="s">
        <v>370</v>
      </c>
      <c r="B283" s="1">
        <v>45638</v>
      </c>
      <c r="C283" t="s">
        <v>109</v>
      </c>
      <c r="D283" t="s">
        <v>35</v>
      </c>
      <c r="E283" t="s">
        <v>36</v>
      </c>
      <c r="F283">
        <v>4</v>
      </c>
      <c r="G283">
        <v>260000</v>
      </c>
      <c r="H283">
        <v>112000</v>
      </c>
      <c r="I283">
        <v>148000</v>
      </c>
      <c r="J283">
        <v>0</v>
      </c>
      <c r="K283" t="s">
        <v>30</v>
      </c>
      <c r="L283" t="s">
        <v>95</v>
      </c>
      <c r="M283" t="s">
        <v>59</v>
      </c>
      <c r="N283">
        <v>3</v>
      </c>
      <c r="O283">
        <f t="shared" si="16"/>
        <v>56.92</v>
      </c>
      <c r="P283">
        <f t="shared" si="17"/>
        <v>65000</v>
      </c>
      <c r="Q283" t="str">
        <f>VLOOKUP(C283,Customers!$A:$D,3,0)</f>
        <v>North</v>
      </c>
      <c r="R283" t="str">
        <f t="shared" si="18"/>
        <v>December</v>
      </c>
      <c r="S283">
        <f t="shared" si="19"/>
        <v>12</v>
      </c>
      <c r="T283" t="str">
        <f>VLOOKUP(C283,Customers!$A:$B,2,0)</f>
        <v>MakeMyTrip</v>
      </c>
    </row>
    <row r="284" spans="1:20">
      <c r="A284" t="s">
        <v>371</v>
      </c>
      <c r="B284" s="1">
        <v>45578</v>
      </c>
      <c r="C284" t="s">
        <v>65</v>
      </c>
      <c r="D284" t="s">
        <v>82</v>
      </c>
      <c r="E284" t="s">
        <v>54</v>
      </c>
      <c r="F284">
        <v>5</v>
      </c>
      <c r="G284">
        <v>725000</v>
      </c>
      <c r="H284">
        <v>300000</v>
      </c>
      <c r="I284">
        <v>425000</v>
      </c>
      <c r="J284">
        <v>0</v>
      </c>
      <c r="K284" t="s">
        <v>18</v>
      </c>
      <c r="L284" t="s">
        <v>95</v>
      </c>
      <c r="M284" t="s">
        <v>32</v>
      </c>
      <c r="N284">
        <v>6</v>
      </c>
      <c r="O284">
        <f t="shared" si="16"/>
        <v>58.62</v>
      </c>
      <c r="P284">
        <f t="shared" si="17"/>
        <v>145000</v>
      </c>
      <c r="Q284" t="str">
        <f>VLOOKUP(C284,Customers!$A:$D,3,0)</f>
        <v>North</v>
      </c>
      <c r="R284" t="str">
        <f t="shared" si="18"/>
        <v>October</v>
      </c>
      <c r="S284">
        <f t="shared" si="19"/>
        <v>10</v>
      </c>
      <c r="T284" t="str">
        <f>VLOOKUP(C284,Customers!$A:$B,2,0)</f>
        <v>Zomato Pvt Ltd</v>
      </c>
    </row>
    <row r="285" spans="1:20">
      <c r="A285" t="s">
        <v>372</v>
      </c>
      <c r="B285" s="1">
        <v>45429</v>
      </c>
      <c r="C285" t="s">
        <v>133</v>
      </c>
      <c r="D285" t="s">
        <v>61</v>
      </c>
      <c r="E285" t="s">
        <v>62</v>
      </c>
      <c r="F285">
        <v>1</v>
      </c>
      <c r="G285">
        <v>220000</v>
      </c>
      <c r="H285">
        <v>90000</v>
      </c>
      <c r="I285">
        <v>130000</v>
      </c>
      <c r="J285">
        <v>0</v>
      </c>
      <c r="K285" t="s">
        <v>30</v>
      </c>
      <c r="L285" t="s">
        <v>97</v>
      </c>
      <c r="M285" t="s">
        <v>59</v>
      </c>
      <c r="N285">
        <v>12</v>
      </c>
      <c r="O285">
        <f t="shared" si="16"/>
        <v>59.09</v>
      </c>
      <c r="P285">
        <f t="shared" si="17"/>
        <v>220000</v>
      </c>
      <c r="Q285" t="str">
        <f>VLOOKUP(C285,Customers!$A:$D,3,0)</f>
        <v>South</v>
      </c>
      <c r="R285" t="str">
        <f t="shared" si="18"/>
        <v>May</v>
      </c>
      <c r="S285">
        <f t="shared" si="19"/>
        <v>5</v>
      </c>
      <c r="T285" t="str">
        <f>VLOOKUP(C285,Customers!$A:$B,2,0)</f>
        <v>Razorpay Tech</v>
      </c>
    </row>
    <row r="286" spans="1:20">
      <c r="A286" t="s">
        <v>373</v>
      </c>
      <c r="B286" s="1">
        <v>45539</v>
      </c>
      <c r="C286" t="s">
        <v>115</v>
      </c>
      <c r="D286" t="s">
        <v>50</v>
      </c>
      <c r="E286" t="s">
        <v>17</v>
      </c>
      <c r="F286">
        <v>2</v>
      </c>
      <c r="G286">
        <v>85000</v>
      </c>
      <c r="H286">
        <v>40000</v>
      </c>
      <c r="I286">
        <v>45000</v>
      </c>
      <c r="J286">
        <v>15</v>
      </c>
      <c r="K286" t="s">
        <v>18</v>
      </c>
      <c r="L286" t="s">
        <v>47</v>
      </c>
      <c r="M286" t="s">
        <v>20</v>
      </c>
      <c r="N286">
        <v>6</v>
      </c>
      <c r="O286">
        <f t="shared" si="16"/>
        <v>52.94</v>
      </c>
      <c r="P286">
        <f t="shared" si="17"/>
        <v>42500</v>
      </c>
      <c r="Q286" t="str">
        <f>VLOOKUP(C286,Customers!$A:$D,3,0)</f>
        <v>North</v>
      </c>
      <c r="R286" t="str">
        <f t="shared" si="18"/>
        <v>September</v>
      </c>
      <c r="S286">
        <f t="shared" si="19"/>
        <v>9</v>
      </c>
      <c r="T286" t="str">
        <f>VLOOKUP(C286,Customers!$A:$B,2,0)</f>
        <v>Paytm Services</v>
      </c>
    </row>
    <row r="287" spans="1:20">
      <c r="A287" t="s">
        <v>374</v>
      </c>
      <c r="B287" s="1">
        <v>45600</v>
      </c>
      <c r="C287" t="s">
        <v>22</v>
      </c>
      <c r="D287" t="s">
        <v>154</v>
      </c>
      <c r="E287" t="s">
        <v>45</v>
      </c>
      <c r="F287">
        <v>3</v>
      </c>
      <c r="G287">
        <v>312000</v>
      </c>
      <c r="H287">
        <v>165000</v>
      </c>
      <c r="I287">
        <v>147000</v>
      </c>
      <c r="J287">
        <v>20</v>
      </c>
      <c r="K287" t="s">
        <v>25</v>
      </c>
      <c r="L287" t="s">
        <v>95</v>
      </c>
      <c r="M287" t="s">
        <v>37</v>
      </c>
      <c r="N287">
        <v>24</v>
      </c>
      <c r="O287">
        <f t="shared" si="16"/>
        <v>47.12</v>
      </c>
      <c r="P287">
        <f t="shared" si="17"/>
        <v>104000</v>
      </c>
      <c r="Q287" t="str">
        <f>VLOOKUP(C287,Customers!$A:$D,3,0)</f>
        <v>South</v>
      </c>
      <c r="R287" t="str">
        <f t="shared" si="18"/>
        <v>November</v>
      </c>
      <c r="S287">
        <f t="shared" si="19"/>
        <v>11</v>
      </c>
      <c r="T287" t="str">
        <f>VLOOKUP(C287,Customers!$A:$B,2,0)</f>
        <v>Infosys Ltd</v>
      </c>
    </row>
    <row r="288" spans="1:20">
      <c r="A288" t="s">
        <v>375</v>
      </c>
      <c r="B288" s="1">
        <v>45463</v>
      </c>
      <c r="C288" t="s">
        <v>139</v>
      </c>
      <c r="D288" t="s">
        <v>67</v>
      </c>
      <c r="E288" t="s">
        <v>54</v>
      </c>
      <c r="F288">
        <v>2</v>
      </c>
      <c r="G288">
        <v>167200</v>
      </c>
      <c r="H288">
        <v>76000</v>
      </c>
      <c r="I288">
        <v>91200</v>
      </c>
      <c r="J288">
        <v>5</v>
      </c>
      <c r="K288" t="s">
        <v>30</v>
      </c>
      <c r="L288" t="s">
        <v>26</v>
      </c>
      <c r="M288" t="s">
        <v>32</v>
      </c>
      <c r="N288">
        <v>24</v>
      </c>
      <c r="O288">
        <f t="shared" si="16"/>
        <v>54.55</v>
      </c>
      <c r="P288">
        <f t="shared" si="17"/>
        <v>83600</v>
      </c>
      <c r="Q288" t="str">
        <f>VLOOKUP(C288,Customers!$A:$D,3,0)</f>
        <v>North</v>
      </c>
      <c r="R288" t="str">
        <f t="shared" si="18"/>
        <v>June</v>
      </c>
      <c r="S288">
        <f t="shared" si="19"/>
        <v>6</v>
      </c>
      <c r="T288" t="str">
        <f>VLOOKUP(C288,Customers!$A:$B,2,0)</f>
        <v>PolicyBazaar</v>
      </c>
    </row>
    <row r="289" spans="1:20">
      <c r="A289" t="s">
        <v>376</v>
      </c>
      <c r="B289" s="1">
        <v>45612</v>
      </c>
      <c r="C289" t="s">
        <v>104</v>
      </c>
      <c r="D289" t="s">
        <v>119</v>
      </c>
      <c r="E289" t="s">
        <v>36</v>
      </c>
      <c r="F289">
        <v>4</v>
      </c>
      <c r="G289">
        <v>360000</v>
      </c>
      <c r="H289">
        <v>180000</v>
      </c>
      <c r="I289">
        <v>180000</v>
      </c>
      <c r="J289">
        <v>10</v>
      </c>
      <c r="K289" t="s">
        <v>30</v>
      </c>
      <c r="L289" t="s">
        <v>70</v>
      </c>
      <c r="M289" t="s">
        <v>59</v>
      </c>
      <c r="N289">
        <v>12</v>
      </c>
      <c r="O289">
        <f t="shared" si="16"/>
        <v>50</v>
      </c>
      <c r="P289">
        <f t="shared" si="17"/>
        <v>90000</v>
      </c>
      <c r="Q289" t="str">
        <f>VLOOKUP(C289,Customers!$A:$D,3,0)</f>
        <v>South</v>
      </c>
      <c r="R289" t="str">
        <f t="shared" si="18"/>
        <v>November</v>
      </c>
      <c r="S289">
        <f t="shared" si="19"/>
        <v>11</v>
      </c>
      <c r="T289" t="str">
        <f>VLOOKUP(C289,Customers!$A:$B,2,0)</f>
        <v>Ola Cabs</v>
      </c>
    </row>
    <row r="290" spans="1:20">
      <c r="A290" t="s">
        <v>377</v>
      </c>
      <c r="B290" s="1">
        <v>45493</v>
      </c>
      <c r="C290" t="s">
        <v>136</v>
      </c>
      <c r="D290" t="s">
        <v>82</v>
      </c>
      <c r="E290" t="s">
        <v>54</v>
      </c>
      <c r="F290">
        <v>2</v>
      </c>
      <c r="G290">
        <v>261000</v>
      </c>
      <c r="H290">
        <v>120000</v>
      </c>
      <c r="I290">
        <v>141000</v>
      </c>
      <c r="J290">
        <v>10</v>
      </c>
      <c r="K290" t="s">
        <v>25</v>
      </c>
      <c r="L290" t="s">
        <v>51</v>
      </c>
      <c r="M290" t="s">
        <v>20</v>
      </c>
      <c r="N290">
        <v>3</v>
      </c>
      <c r="O290">
        <f t="shared" si="16"/>
        <v>54.02</v>
      </c>
      <c r="P290">
        <f t="shared" si="17"/>
        <v>130500</v>
      </c>
      <c r="Q290" t="str">
        <f>VLOOKUP(C290,Customers!$A:$D,3,0)</f>
        <v>North</v>
      </c>
      <c r="R290" t="str">
        <f t="shared" si="18"/>
        <v>July</v>
      </c>
      <c r="S290">
        <f t="shared" si="19"/>
        <v>7</v>
      </c>
      <c r="T290" t="str">
        <f>VLOOKUP(C290,Customers!$A:$B,2,0)</f>
        <v>BharatPe</v>
      </c>
    </row>
    <row r="291" spans="1:20">
      <c r="A291" t="s">
        <v>378</v>
      </c>
      <c r="B291" s="1">
        <v>45528</v>
      </c>
      <c r="C291" t="s">
        <v>73</v>
      </c>
      <c r="D291" t="s">
        <v>40</v>
      </c>
      <c r="E291" t="s">
        <v>41</v>
      </c>
      <c r="F291">
        <v>3</v>
      </c>
      <c r="G291">
        <v>84000</v>
      </c>
      <c r="H291">
        <v>45000</v>
      </c>
      <c r="I291">
        <v>39000</v>
      </c>
      <c r="J291">
        <v>20</v>
      </c>
      <c r="K291" t="s">
        <v>18</v>
      </c>
      <c r="L291" t="s">
        <v>19</v>
      </c>
      <c r="M291" t="s">
        <v>59</v>
      </c>
      <c r="N291">
        <v>24</v>
      </c>
      <c r="O291">
        <f t="shared" si="16"/>
        <v>46.43</v>
      </c>
      <c r="P291">
        <f t="shared" si="17"/>
        <v>28000</v>
      </c>
      <c r="Q291" t="str">
        <f>VLOOKUP(C291,Customers!$A:$D,3,0)</f>
        <v>West</v>
      </c>
      <c r="R291" t="str">
        <f t="shared" si="18"/>
        <v>August</v>
      </c>
      <c r="S291">
        <f t="shared" si="19"/>
        <v>8</v>
      </c>
      <c r="T291" t="str">
        <f>VLOOKUP(C291,Customers!$A:$B,2,0)</f>
        <v>ICICI Tech</v>
      </c>
    </row>
    <row r="292" spans="1:20">
      <c r="A292" t="s">
        <v>379</v>
      </c>
      <c r="B292" s="1">
        <v>45363</v>
      </c>
      <c r="C292" t="s">
        <v>65</v>
      </c>
      <c r="D292" t="s">
        <v>50</v>
      </c>
      <c r="E292" t="s">
        <v>17</v>
      </c>
      <c r="F292">
        <v>2</v>
      </c>
      <c r="G292">
        <v>85000</v>
      </c>
      <c r="H292">
        <v>40000</v>
      </c>
      <c r="I292">
        <v>45000</v>
      </c>
      <c r="J292">
        <v>15</v>
      </c>
      <c r="K292" t="s">
        <v>30</v>
      </c>
      <c r="L292" t="s">
        <v>95</v>
      </c>
      <c r="M292" t="s">
        <v>27</v>
      </c>
      <c r="N292">
        <v>24</v>
      </c>
      <c r="O292">
        <f t="shared" si="16"/>
        <v>52.94</v>
      </c>
      <c r="P292">
        <f t="shared" si="17"/>
        <v>42500</v>
      </c>
      <c r="Q292" t="str">
        <f>VLOOKUP(C292,Customers!$A:$D,3,0)</f>
        <v>North</v>
      </c>
      <c r="R292" t="str">
        <f t="shared" si="18"/>
        <v>March</v>
      </c>
      <c r="S292">
        <f t="shared" si="19"/>
        <v>3</v>
      </c>
      <c r="T292" t="str">
        <f>VLOOKUP(C292,Customers!$A:$B,2,0)</f>
        <v>Zomato Pvt Ltd</v>
      </c>
    </row>
    <row r="293" spans="1:20">
      <c r="A293" t="s">
        <v>380</v>
      </c>
      <c r="B293" s="1">
        <v>45598</v>
      </c>
      <c r="C293" t="s">
        <v>143</v>
      </c>
      <c r="D293" t="s">
        <v>53</v>
      </c>
      <c r="E293" t="s">
        <v>54</v>
      </c>
      <c r="F293">
        <v>5</v>
      </c>
      <c r="G293">
        <v>800000</v>
      </c>
      <c r="H293">
        <v>425000</v>
      </c>
      <c r="I293">
        <v>375000</v>
      </c>
      <c r="J293">
        <v>20</v>
      </c>
      <c r="K293" t="s">
        <v>18</v>
      </c>
      <c r="L293" t="s">
        <v>95</v>
      </c>
      <c r="M293" t="s">
        <v>20</v>
      </c>
      <c r="N293">
        <v>3</v>
      </c>
      <c r="O293">
        <f t="shared" si="16"/>
        <v>46.88</v>
      </c>
      <c r="P293">
        <f t="shared" si="17"/>
        <v>160000</v>
      </c>
      <c r="Q293" t="str">
        <f>VLOOKUP(C293,Customers!$A:$D,3,0)</f>
        <v>North</v>
      </c>
      <c r="R293" t="str">
        <f t="shared" si="18"/>
        <v>November</v>
      </c>
      <c r="S293">
        <f t="shared" si="19"/>
        <v>11</v>
      </c>
      <c r="T293" t="str">
        <f>VLOOKUP(C293,Customers!$A:$B,2,0)</f>
        <v>Nykaa Fashion</v>
      </c>
    </row>
    <row r="294" spans="1:20">
      <c r="A294" t="s">
        <v>381</v>
      </c>
      <c r="B294" s="1">
        <v>45476</v>
      </c>
      <c r="C294" t="s">
        <v>109</v>
      </c>
      <c r="D294" t="s">
        <v>53</v>
      </c>
      <c r="E294" t="s">
        <v>54</v>
      </c>
      <c r="F294">
        <v>5</v>
      </c>
      <c r="G294">
        <v>850000</v>
      </c>
      <c r="H294">
        <v>425000</v>
      </c>
      <c r="I294">
        <v>425000</v>
      </c>
      <c r="J294">
        <v>15</v>
      </c>
      <c r="K294" t="s">
        <v>30</v>
      </c>
      <c r="L294" t="s">
        <v>19</v>
      </c>
      <c r="M294" t="s">
        <v>32</v>
      </c>
      <c r="N294">
        <v>12</v>
      </c>
      <c r="O294">
        <f t="shared" si="16"/>
        <v>50</v>
      </c>
      <c r="P294">
        <f t="shared" si="17"/>
        <v>170000</v>
      </c>
      <c r="Q294" t="str">
        <f>VLOOKUP(C294,Customers!$A:$D,3,0)</f>
        <v>North</v>
      </c>
      <c r="R294" t="str">
        <f t="shared" si="18"/>
        <v>July</v>
      </c>
      <c r="S294">
        <f t="shared" si="19"/>
        <v>7</v>
      </c>
      <c r="T294" t="str">
        <f>VLOOKUP(C294,Customers!$A:$B,2,0)</f>
        <v>MakeMyTrip</v>
      </c>
    </row>
    <row r="295" spans="1:20">
      <c r="A295" t="s">
        <v>382</v>
      </c>
      <c r="B295" s="1">
        <v>45377</v>
      </c>
      <c r="C295" t="s">
        <v>99</v>
      </c>
      <c r="D295" t="s">
        <v>82</v>
      </c>
      <c r="E295" t="s">
        <v>54</v>
      </c>
      <c r="F295">
        <v>4</v>
      </c>
      <c r="G295">
        <v>464000</v>
      </c>
      <c r="H295">
        <v>240000</v>
      </c>
      <c r="I295">
        <v>224000</v>
      </c>
      <c r="J295">
        <v>20</v>
      </c>
      <c r="K295" t="s">
        <v>30</v>
      </c>
      <c r="L295" t="s">
        <v>95</v>
      </c>
      <c r="M295" t="s">
        <v>27</v>
      </c>
      <c r="N295">
        <v>3</v>
      </c>
      <c r="O295">
        <f t="shared" si="16"/>
        <v>48.28</v>
      </c>
      <c r="P295">
        <f t="shared" si="17"/>
        <v>116000</v>
      </c>
      <c r="Q295" t="str">
        <f>VLOOKUP(C295,Customers!$A:$D,3,0)</f>
        <v>West</v>
      </c>
      <c r="R295" t="str">
        <f t="shared" si="18"/>
        <v>March</v>
      </c>
      <c r="S295">
        <f t="shared" si="19"/>
        <v>3</v>
      </c>
      <c r="T295" t="str">
        <f>VLOOKUP(C295,Customers!$A:$B,2,0)</f>
        <v>Tata Consultancy</v>
      </c>
    </row>
    <row r="296" spans="1:20">
      <c r="A296" t="s">
        <v>383</v>
      </c>
      <c r="B296" s="1">
        <v>45627</v>
      </c>
      <c r="C296" t="s">
        <v>39</v>
      </c>
      <c r="D296" t="s">
        <v>80</v>
      </c>
      <c r="E296" t="s">
        <v>41</v>
      </c>
      <c r="F296">
        <v>5</v>
      </c>
      <c r="G296">
        <v>234000</v>
      </c>
      <c r="H296">
        <v>110000</v>
      </c>
      <c r="I296">
        <v>124000</v>
      </c>
      <c r="J296">
        <v>10</v>
      </c>
      <c r="K296" t="s">
        <v>18</v>
      </c>
      <c r="L296" t="s">
        <v>26</v>
      </c>
      <c r="M296" t="s">
        <v>32</v>
      </c>
      <c r="N296">
        <v>24</v>
      </c>
      <c r="O296">
        <f t="shared" si="16"/>
        <v>52.99</v>
      </c>
      <c r="P296">
        <f t="shared" si="17"/>
        <v>46800</v>
      </c>
      <c r="Q296" t="str">
        <f>VLOOKUP(C296,Customers!$A:$D,3,0)</f>
        <v>North</v>
      </c>
      <c r="R296" t="str">
        <f t="shared" si="18"/>
        <v>December</v>
      </c>
      <c r="S296">
        <f t="shared" si="19"/>
        <v>12</v>
      </c>
      <c r="T296" t="str">
        <f>VLOOKUP(C296,Customers!$A:$B,2,0)</f>
        <v>Amazon India</v>
      </c>
    </row>
    <row r="297" spans="1:20">
      <c r="A297" t="s">
        <v>384</v>
      </c>
      <c r="B297" s="1">
        <v>45483</v>
      </c>
      <c r="C297" t="s">
        <v>34</v>
      </c>
      <c r="D297" t="s">
        <v>82</v>
      </c>
      <c r="E297" t="s">
        <v>54</v>
      </c>
      <c r="F297">
        <v>5</v>
      </c>
      <c r="G297">
        <v>725000</v>
      </c>
      <c r="H297">
        <v>300000</v>
      </c>
      <c r="I297">
        <v>425000</v>
      </c>
      <c r="J297">
        <v>0</v>
      </c>
      <c r="K297" t="s">
        <v>30</v>
      </c>
      <c r="L297" t="s">
        <v>31</v>
      </c>
      <c r="M297" t="s">
        <v>59</v>
      </c>
      <c r="N297">
        <v>3</v>
      </c>
      <c r="O297">
        <f t="shared" si="16"/>
        <v>58.62</v>
      </c>
      <c r="P297">
        <f t="shared" si="17"/>
        <v>145000</v>
      </c>
      <c r="Q297" t="str">
        <f>VLOOKUP(C297,Customers!$A:$D,3,0)</f>
        <v>North</v>
      </c>
      <c r="R297" t="str">
        <f t="shared" si="18"/>
        <v>July</v>
      </c>
      <c r="S297">
        <f t="shared" si="19"/>
        <v>7</v>
      </c>
      <c r="T297" t="str">
        <f>VLOOKUP(C297,Customers!$A:$B,2,0)</f>
        <v>Snapdeal Ltd</v>
      </c>
    </row>
    <row r="298" spans="1:20">
      <c r="A298" t="s">
        <v>385</v>
      </c>
      <c r="B298" s="1">
        <v>45443</v>
      </c>
      <c r="C298" t="s">
        <v>56</v>
      </c>
      <c r="D298" t="s">
        <v>69</v>
      </c>
      <c r="E298" t="s">
        <v>62</v>
      </c>
      <c r="F298">
        <v>2</v>
      </c>
      <c r="G298">
        <v>180500</v>
      </c>
      <c r="H298">
        <v>80000</v>
      </c>
      <c r="I298">
        <v>100500</v>
      </c>
      <c r="J298">
        <v>5</v>
      </c>
      <c r="K298" t="s">
        <v>30</v>
      </c>
      <c r="L298" t="s">
        <v>70</v>
      </c>
      <c r="M298" t="s">
        <v>59</v>
      </c>
      <c r="N298">
        <v>6</v>
      </c>
      <c r="O298">
        <f t="shared" si="16"/>
        <v>55.68</v>
      </c>
      <c r="P298">
        <f t="shared" si="17"/>
        <v>90250</v>
      </c>
      <c r="Q298" t="str">
        <f>VLOOKUP(C298,Customers!$A:$D,3,0)</f>
        <v>South</v>
      </c>
      <c r="R298" t="str">
        <f t="shared" si="18"/>
        <v>May</v>
      </c>
      <c r="S298">
        <f t="shared" si="19"/>
        <v>5</v>
      </c>
      <c r="T298" t="str">
        <f>VLOOKUP(C298,Customers!$A:$B,2,0)</f>
        <v>Wipro Technologies</v>
      </c>
    </row>
    <row r="299" spans="1:20">
      <c r="A299" t="s">
        <v>386</v>
      </c>
      <c r="B299" s="1">
        <v>45558</v>
      </c>
      <c r="C299" t="s">
        <v>133</v>
      </c>
      <c r="D299" t="s">
        <v>69</v>
      </c>
      <c r="E299" t="s">
        <v>62</v>
      </c>
      <c r="F299">
        <v>4</v>
      </c>
      <c r="G299">
        <v>323000</v>
      </c>
      <c r="H299">
        <v>160000</v>
      </c>
      <c r="I299">
        <v>163000</v>
      </c>
      <c r="J299">
        <v>15</v>
      </c>
      <c r="K299" t="s">
        <v>18</v>
      </c>
      <c r="L299" t="s">
        <v>47</v>
      </c>
      <c r="M299" t="s">
        <v>37</v>
      </c>
      <c r="N299">
        <v>3</v>
      </c>
      <c r="O299">
        <f t="shared" si="16"/>
        <v>50.46</v>
      </c>
      <c r="P299">
        <f t="shared" si="17"/>
        <v>80750</v>
      </c>
      <c r="Q299" t="str">
        <f>VLOOKUP(C299,Customers!$A:$D,3,0)</f>
        <v>South</v>
      </c>
      <c r="R299" t="str">
        <f t="shared" si="18"/>
        <v>September</v>
      </c>
      <c r="S299">
        <f t="shared" si="19"/>
        <v>9</v>
      </c>
      <c r="T299" t="str">
        <f>VLOOKUP(C299,Customers!$A:$B,2,0)</f>
        <v>Razorpay Tech</v>
      </c>
    </row>
    <row r="300" spans="1:20">
      <c r="A300" t="s">
        <v>387</v>
      </c>
      <c r="B300" s="1">
        <v>45652</v>
      </c>
      <c r="C300" t="s">
        <v>151</v>
      </c>
      <c r="D300" t="s">
        <v>92</v>
      </c>
      <c r="E300" t="s">
        <v>24</v>
      </c>
      <c r="F300">
        <v>3</v>
      </c>
      <c r="G300">
        <v>459000</v>
      </c>
      <c r="H300">
        <v>240000</v>
      </c>
      <c r="I300">
        <v>219000</v>
      </c>
      <c r="J300">
        <v>15</v>
      </c>
      <c r="K300" t="s">
        <v>30</v>
      </c>
      <c r="L300" t="s">
        <v>51</v>
      </c>
      <c r="M300" t="s">
        <v>32</v>
      </c>
      <c r="N300">
        <v>6</v>
      </c>
      <c r="O300">
        <f t="shared" si="16"/>
        <v>47.71</v>
      </c>
      <c r="P300">
        <f t="shared" si="17"/>
        <v>153000</v>
      </c>
      <c r="Q300" t="str">
        <f>VLOOKUP(C300,Customers!$A:$D,3,0)</f>
        <v>North</v>
      </c>
      <c r="R300" t="str">
        <f t="shared" si="18"/>
        <v>December</v>
      </c>
      <c r="S300">
        <f t="shared" si="19"/>
        <v>12</v>
      </c>
      <c r="T300" t="str">
        <f>VLOOKUP(C300,Customers!$A:$B,2,0)</f>
        <v>HCL Systems</v>
      </c>
    </row>
    <row r="301" spans="1:20">
      <c r="A301" t="s">
        <v>388</v>
      </c>
      <c r="B301" s="1">
        <v>45633</v>
      </c>
      <c r="C301" t="s">
        <v>29</v>
      </c>
      <c r="D301" t="s">
        <v>40</v>
      </c>
      <c r="E301" t="s">
        <v>41</v>
      </c>
      <c r="F301">
        <v>2</v>
      </c>
      <c r="G301">
        <v>56000</v>
      </c>
      <c r="H301">
        <v>30000</v>
      </c>
      <c r="I301">
        <v>26000</v>
      </c>
      <c r="J301">
        <v>20</v>
      </c>
      <c r="K301" t="s">
        <v>30</v>
      </c>
      <c r="L301" t="s">
        <v>51</v>
      </c>
      <c r="M301" t="s">
        <v>32</v>
      </c>
      <c r="N301">
        <v>24</v>
      </c>
      <c r="O301">
        <f t="shared" si="16"/>
        <v>46.43</v>
      </c>
      <c r="P301">
        <f t="shared" si="17"/>
        <v>28000</v>
      </c>
      <c r="Q301" t="str">
        <f>VLOOKUP(C301,Customers!$A:$D,3,0)</f>
        <v>South</v>
      </c>
      <c r="R301" t="str">
        <f t="shared" si="18"/>
        <v>December</v>
      </c>
      <c r="S301">
        <f t="shared" si="19"/>
        <v>12</v>
      </c>
      <c r="T301" t="str">
        <f>VLOOKUP(C301,Customers!$A:$B,2,0)</f>
        <v>Meesho Network</v>
      </c>
    </row>
    <row r="302" spans="1:20">
      <c r="A302" t="s">
        <v>389</v>
      </c>
      <c r="B302" s="1">
        <v>45640</v>
      </c>
      <c r="C302" t="s">
        <v>94</v>
      </c>
      <c r="D302" t="s">
        <v>57</v>
      </c>
      <c r="E302" t="s">
        <v>17</v>
      </c>
      <c r="F302">
        <v>4</v>
      </c>
      <c r="G302">
        <v>216000</v>
      </c>
      <c r="H302">
        <v>100000</v>
      </c>
      <c r="I302">
        <v>116000</v>
      </c>
      <c r="J302">
        <v>10</v>
      </c>
      <c r="K302" t="s">
        <v>30</v>
      </c>
      <c r="L302" t="s">
        <v>95</v>
      </c>
      <c r="M302" t="s">
        <v>27</v>
      </c>
      <c r="N302">
        <v>6</v>
      </c>
      <c r="O302">
        <f t="shared" si="16"/>
        <v>53.7</v>
      </c>
      <c r="P302">
        <f t="shared" si="17"/>
        <v>54000</v>
      </c>
      <c r="Q302" t="str">
        <f>VLOOKUP(C302,Customers!$A:$D,3,0)</f>
        <v>South</v>
      </c>
      <c r="R302" t="str">
        <f t="shared" si="18"/>
        <v>December</v>
      </c>
      <c r="S302">
        <f t="shared" si="19"/>
        <v>12</v>
      </c>
      <c r="T302" t="str">
        <f>VLOOKUP(C302,Customers!$A:$B,2,0)</f>
        <v>PhonePe Pay</v>
      </c>
    </row>
    <row r="303" spans="1:20">
      <c r="A303" t="s">
        <v>390</v>
      </c>
      <c r="B303" s="1">
        <v>45652</v>
      </c>
      <c r="C303" t="s">
        <v>109</v>
      </c>
      <c r="D303" t="s">
        <v>23</v>
      </c>
      <c r="E303" t="s">
        <v>24</v>
      </c>
      <c r="F303">
        <v>5</v>
      </c>
      <c r="G303">
        <v>600000</v>
      </c>
      <c r="H303">
        <v>250000</v>
      </c>
      <c r="I303">
        <v>350000</v>
      </c>
      <c r="J303">
        <v>0</v>
      </c>
      <c r="K303" t="s">
        <v>25</v>
      </c>
      <c r="L303" t="s">
        <v>51</v>
      </c>
      <c r="M303" t="s">
        <v>37</v>
      </c>
      <c r="N303">
        <v>12</v>
      </c>
      <c r="O303">
        <f t="shared" si="16"/>
        <v>58.33</v>
      </c>
      <c r="P303">
        <f t="shared" si="17"/>
        <v>120000</v>
      </c>
      <c r="Q303" t="str">
        <f>VLOOKUP(C303,Customers!$A:$D,3,0)</f>
        <v>North</v>
      </c>
      <c r="R303" t="str">
        <f t="shared" si="18"/>
        <v>December</v>
      </c>
      <c r="S303">
        <f t="shared" si="19"/>
        <v>12</v>
      </c>
      <c r="T303" t="str">
        <f>VLOOKUP(C303,Customers!$A:$B,2,0)</f>
        <v>MakeMyTrip</v>
      </c>
    </row>
    <row r="304" spans="1:20">
      <c r="A304" t="s">
        <v>391</v>
      </c>
      <c r="B304" s="1">
        <v>45392</v>
      </c>
      <c r="C304" t="s">
        <v>15</v>
      </c>
      <c r="D304" t="s">
        <v>76</v>
      </c>
      <c r="E304" t="s">
        <v>41</v>
      </c>
      <c r="F304">
        <v>5</v>
      </c>
      <c r="G304">
        <v>178500</v>
      </c>
      <c r="H304">
        <v>90000</v>
      </c>
      <c r="I304">
        <v>88500</v>
      </c>
      <c r="J304">
        <v>15</v>
      </c>
      <c r="K304" t="s">
        <v>30</v>
      </c>
      <c r="L304" t="s">
        <v>26</v>
      </c>
      <c r="M304" t="s">
        <v>59</v>
      </c>
      <c r="N304">
        <v>24</v>
      </c>
      <c r="O304">
        <f t="shared" si="16"/>
        <v>49.58</v>
      </c>
      <c r="P304">
        <f t="shared" si="17"/>
        <v>35700</v>
      </c>
      <c r="Q304" t="str">
        <f>VLOOKUP(C304,Customers!$A:$D,3,0)</f>
        <v>South</v>
      </c>
      <c r="R304" t="str">
        <f t="shared" si="18"/>
        <v>April</v>
      </c>
      <c r="S304">
        <f t="shared" si="19"/>
        <v>4</v>
      </c>
      <c r="T304" t="str">
        <f>VLOOKUP(C304,Customers!$A:$B,2,0)</f>
        <v>Swiggy Inc</v>
      </c>
    </row>
    <row r="305" spans="1:20">
      <c r="A305" t="s">
        <v>392</v>
      </c>
      <c r="B305" s="1">
        <v>45607</v>
      </c>
      <c r="C305" t="s">
        <v>43</v>
      </c>
      <c r="D305" t="s">
        <v>40</v>
      </c>
      <c r="E305" t="s">
        <v>41</v>
      </c>
      <c r="F305">
        <v>5</v>
      </c>
      <c r="G305">
        <v>175000</v>
      </c>
      <c r="H305">
        <v>75000</v>
      </c>
      <c r="I305">
        <v>100000</v>
      </c>
      <c r="J305">
        <v>0</v>
      </c>
      <c r="K305" t="s">
        <v>18</v>
      </c>
      <c r="L305" t="s">
        <v>97</v>
      </c>
      <c r="M305" t="s">
        <v>20</v>
      </c>
      <c r="N305">
        <v>3</v>
      </c>
      <c r="O305">
        <f t="shared" si="16"/>
        <v>57.14</v>
      </c>
      <c r="P305">
        <f t="shared" si="17"/>
        <v>35000</v>
      </c>
      <c r="Q305" t="str">
        <f>VLOOKUP(C305,Customers!$A:$D,3,0)</f>
        <v>South</v>
      </c>
      <c r="R305" t="str">
        <f t="shared" si="18"/>
        <v>November</v>
      </c>
      <c r="S305">
        <f t="shared" si="19"/>
        <v>11</v>
      </c>
      <c r="T305" t="str">
        <f>VLOOKUP(C305,Customers!$A:$B,2,0)</f>
        <v>Groww Invest</v>
      </c>
    </row>
    <row r="306" spans="1:20">
      <c r="A306" t="s">
        <v>393</v>
      </c>
      <c r="B306" s="1">
        <v>45577</v>
      </c>
      <c r="C306" t="s">
        <v>65</v>
      </c>
      <c r="D306" t="s">
        <v>119</v>
      </c>
      <c r="E306" t="s">
        <v>36</v>
      </c>
      <c r="F306">
        <v>1</v>
      </c>
      <c r="G306">
        <v>100000</v>
      </c>
      <c r="H306">
        <v>45000</v>
      </c>
      <c r="I306">
        <v>55000</v>
      </c>
      <c r="J306">
        <v>0</v>
      </c>
      <c r="K306" t="s">
        <v>30</v>
      </c>
      <c r="L306" t="s">
        <v>51</v>
      </c>
      <c r="M306" t="s">
        <v>20</v>
      </c>
      <c r="N306">
        <v>24</v>
      </c>
      <c r="O306">
        <f t="shared" si="16"/>
        <v>55</v>
      </c>
      <c r="P306">
        <f t="shared" si="17"/>
        <v>100000</v>
      </c>
      <c r="Q306" t="str">
        <f>VLOOKUP(C306,Customers!$A:$D,3,0)</f>
        <v>North</v>
      </c>
      <c r="R306" t="str">
        <f t="shared" si="18"/>
        <v>October</v>
      </c>
      <c r="S306">
        <f t="shared" si="19"/>
        <v>10</v>
      </c>
      <c r="T306" t="str">
        <f>VLOOKUP(C306,Customers!$A:$B,2,0)</f>
        <v>Zomato Pvt Ltd</v>
      </c>
    </row>
    <row r="307" spans="1:20">
      <c r="A307" t="s">
        <v>394</v>
      </c>
      <c r="B307" s="1">
        <v>45506</v>
      </c>
      <c r="C307" t="s">
        <v>106</v>
      </c>
      <c r="D307" t="s">
        <v>154</v>
      </c>
      <c r="E307" t="s">
        <v>45</v>
      </c>
      <c r="F307">
        <v>4</v>
      </c>
      <c r="G307">
        <v>520000</v>
      </c>
      <c r="H307">
        <v>220000</v>
      </c>
      <c r="I307">
        <v>300000</v>
      </c>
      <c r="J307">
        <v>0</v>
      </c>
      <c r="K307" t="s">
        <v>30</v>
      </c>
      <c r="L307" t="s">
        <v>63</v>
      </c>
      <c r="M307" t="s">
        <v>32</v>
      </c>
      <c r="N307">
        <v>6</v>
      </c>
      <c r="O307">
        <f t="shared" si="16"/>
        <v>57.69</v>
      </c>
      <c r="P307">
        <f t="shared" si="17"/>
        <v>130000</v>
      </c>
      <c r="Q307" t="str">
        <f>VLOOKUP(C307,Customers!$A:$D,3,0)</f>
        <v>North</v>
      </c>
      <c r="R307" t="str">
        <f t="shared" si="18"/>
        <v>August</v>
      </c>
      <c r="S307">
        <f t="shared" si="19"/>
        <v>8</v>
      </c>
      <c r="T307" t="str">
        <f>VLOOKUP(C307,Customers!$A:$B,2,0)</f>
        <v>Urban Company</v>
      </c>
    </row>
    <row r="308" spans="1:20">
      <c r="A308" t="s">
        <v>395</v>
      </c>
      <c r="B308" s="1">
        <v>45585</v>
      </c>
      <c r="C308" t="s">
        <v>104</v>
      </c>
      <c r="D308" t="s">
        <v>40</v>
      </c>
      <c r="E308" t="s">
        <v>41</v>
      </c>
      <c r="F308">
        <v>5</v>
      </c>
      <c r="G308">
        <v>175000</v>
      </c>
      <c r="H308">
        <v>75000</v>
      </c>
      <c r="I308">
        <v>100000</v>
      </c>
      <c r="J308">
        <v>0</v>
      </c>
      <c r="K308" t="s">
        <v>30</v>
      </c>
      <c r="L308" t="s">
        <v>31</v>
      </c>
      <c r="M308" t="s">
        <v>59</v>
      </c>
      <c r="N308">
        <v>6</v>
      </c>
      <c r="O308">
        <f t="shared" si="16"/>
        <v>57.14</v>
      </c>
      <c r="P308">
        <f t="shared" si="17"/>
        <v>35000</v>
      </c>
      <c r="Q308" t="str">
        <f>VLOOKUP(C308,Customers!$A:$D,3,0)</f>
        <v>South</v>
      </c>
      <c r="R308" t="str">
        <f t="shared" si="18"/>
        <v>October</v>
      </c>
      <c r="S308">
        <f t="shared" si="19"/>
        <v>10</v>
      </c>
      <c r="T308" t="str">
        <f>VLOOKUP(C308,Customers!$A:$B,2,0)</f>
        <v>Ola Cabs</v>
      </c>
    </row>
    <row r="309" spans="1:20">
      <c r="A309" t="s">
        <v>396</v>
      </c>
      <c r="B309" s="1">
        <v>45391</v>
      </c>
      <c r="C309" t="s">
        <v>91</v>
      </c>
      <c r="D309" t="s">
        <v>80</v>
      </c>
      <c r="E309" t="s">
        <v>41</v>
      </c>
      <c r="F309">
        <v>4</v>
      </c>
      <c r="G309">
        <v>197600</v>
      </c>
      <c r="H309">
        <v>88000</v>
      </c>
      <c r="I309">
        <v>109600</v>
      </c>
      <c r="J309">
        <v>5</v>
      </c>
      <c r="K309" t="s">
        <v>18</v>
      </c>
      <c r="L309" t="s">
        <v>47</v>
      </c>
      <c r="M309" t="s">
        <v>59</v>
      </c>
      <c r="N309">
        <v>24</v>
      </c>
      <c r="O309">
        <f t="shared" si="16"/>
        <v>55.47</v>
      </c>
      <c r="P309">
        <f t="shared" si="17"/>
        <v>49400</v>
      </c>
      <c r="Q309" t="str">
        <f>VLOOKUP(C309,Customers!$A:$D,3,0)</f>
        <v>South</v>
      </c>
      <c r="R309" t="str">
        <f t="shared" si="18"/>
        <v>April</v>
      </c>
      <c r="S309">
        <f t="shared" si="19"/>
        <v>4</v>
      </c>
      <c r="T309" t="str">
        <f>VLOOKUP(C309,Customers!$A:$B,2,0)</f>
        <v>CRED Fintech</v>
      </c>
    </row>
    <row r="310" spans="1:20">
      <c r="A310" t="s">
        <v>397</v>
      </c>
      <c r="B310" s="1">
        <v>45634</v>
      </c>
      <c r="C310" t="s">
        <v>22</v>
      </c>
      <c r="D310" t="s">
        <v>16</v>
      </c>
      <c r="E310" t="s">
        <v>17</v>
      </c>
      <c r="F310">
        <v>3</v>
      </c>
      <c r="G310">
        <v>210000</v>
      </c>
      <c r="H310">
        <v>90000</v>
      </c>
      <c r="I310">
        <v>120000</v>
      </c>
      <c r="J310">
        <v>0</v>
      </c>
      <c r="K310" t="s">
        <v>30</v>
      </c>
      <c r="L310" t="s">
        <v>58</v>
      </c>
      <c r="M310" t="s">
        <v>20</v>
      </c>
      <c r="N310">
        <v>12</v>
      </c>
      <c r="O310">
        <f t="shared" si="16"/>
        <v>57.14</v>
      </c>
      <c r="P310">
        <f t="shared" si="17"/>
        <v>70000</v>
      </c>
      <c r="Q310" t="str">
        <f>VLOOKUP(C310,Customers!$A:$D,3,0)</f>
        <v>South</v>
      </c>
      <c r="R310" t="str">
        <f t="shared" si="18"/>
        <v>December</v>
      </c>
      <c r="S310">
        <f t="shared" si="19"/>
        <v>12</v>
      </c>
      <c r="T310" t="str">
        <f>VLOOKUP(C310,Customers!$A:$B,2,0)</f>
        <v>Infosys Ltd</v>
      </c>
    </row>
    <row r="311" spans="1:20">
      <c r="A311" t="s">
        <v>398</v>
      </c>
      <c r="B311" s="1">
        <v>45378</v>
      </c>
      <c r="C311" t="s">
        <v>106</v>
      </c>
      <c r="D311" t="s">
        <v>76</v>
      </c>
      <c r="E311" t="s">
        <v>41</v>
      </c>
      <c r="F311">
        <v>5</v>
      </c>
      <c r="G311">
        <v>189000</v>
      </c>
      <c r="H311">
        <v>90000</v>
      </c>
      <c r="I311">
        <v>99000</v>
      </c>
      <c r="J311">
        <v>10</v>
      </c>
      <c r="K311" t="s">
        <v>30</v>
      </c>
      <c r="L311" t="s">
        <v>26</v>
      </c>
      <c r="M311" t="s">
        <v>27</v>
      </c>
      <c r="N311">
        <v>12</v>
      </c>
      <c r="O311">
        <f t="shared" si="16"/>
        <v>52.38</v>
      </c>
      <c r="P311">
        <f t="shared" si="17"/>
        <v>37800</v>
      </c>
      <c r="Q311" t="str">
        <f>VLOOKUP(C311,Customers!$A:$D,3,0)</f>
        <v>North</v>
      </c>
      <c r="R311" t="str">
        <f t="shared" si="18"/>
        <v>March</v>
      </c>
      <c r="S311">
        <f t="shared" si="19"/>
        <v>3</v>
      </c>
      <c r="T311" t="str">
        <f>VLOOKUP(C311,Customers!$A:$B,2,0)</f>
        <v>Urban Company</v>
      </c>
    </row>
    <row r="312" spans="1:20">
      <c r="A312" t="s">
        <v>399</v>
      </c>
      <c r="B312" s="1">
        <v>45570</v>
      </c>
      <c r="C312" t="s">
        <v>115</v>
      </c>
      <c r="D312" t="s">
        <v>53</v>
      </c>
      <c r="E312" t="s">
        <v>54</v>
      </c>
      <c r="F312">
        <v>1</v>
      </c>
      <c r="G312">
        <v>160000</v>
      </c>
      <c r="H312">
        <v>85000</v>
      </c>
      <c r="I312">
        <v>75000</v>
      </c>
      <c r="J312">
        <v>20</v>
      </c>
      <c r="K312" t="s">
        <v>18</v>
      </c>
      <c r="L312" t="s">
        <v>47</v>
      </c>
      <c r="M312" t="s">
        <v>20</v>
      </c>
      <c r="N312">
        <v>6</v>
      </c>
      <c r="O312">
        <f t="shared" si="16"/>
        <v>46.88</v>
      </c>
      <c r="P312">
        <f t="shared" si="17"/>
        <v>160000</v>
      </c>
      <c r="Q312" t="str">
        <f>VLOOKUP(C312,Customers!$A:$D,3,0)</f>
        <v>North</v>
      </c>
      <c r="R312" t="str">
        <f t="shared" si="18"/>
        <v>October</v>
      </c>
      <c r="S312">
        <f t="shared" si="19"/>
        <v>10</v>
      </c>
      <c r="T312" t="str">
        <f>VLOOKUP(C312,Customers!$A:$B,2,0)</f>
        <v>Paytm Services</v>
      </c>
    </row>
    <row r="313" spans="1:20">
      <c r="A313" t="s">
        <v>400</v>
      </c>
      <c r="B313" s="1">
        <v>45645</v>
      </c>
      <c r="C313" t="s">
        <v>34</v>
      </c>
      <c r="D313" t="s">
        <v>16</v>
      </c>
      <c r="E313" t="s">
        <v>17</v>
      </c>
      <c r="F313">
        <v>3</v>
      </c>
      <c r="G313">
        <v>168000</v>
      </c>
      <c r="H313">
        <v>90000</v>
      </c>
      <c r="I313">
        <v>78000</v>
      </c>
      <c r="J313">
        <v>20</v>
      </c>
      <c r="K313" t="s">
        <v>30</v>
      </c>
      <c r="L313" t="s">
        <v>47</v>
      </c>
      <c r="M313" t="s">
        <v>37</v>
      </c>
      <c r="N313">
        <v>12</v>
      </c>
      <c r="O313">
        <f t="shared" si="16"/>
        <v>46.43</v>
      </c>
      <c r="P313">
        <f t="shared" si="17"/>
        <v>56000</v>
      </c>
      <c r="Q313" t="str">
        <f>VLOOKUP(C313,Customers!$A:$D,3,0)</f>
        <v>North</v>
      </c>
      <c r="R313" t="str">
        <f t="shared" si="18"/>
        <v>December</v>
      </c>
      <c r="S313">
        <f t="shared" si="19"/>
        <v>12</v>
      </c>
      <c r="T313" t="str">
        <f>VLOOKUP(C313,Customers!$A:$B,2,0)</f>
        <v>Snapdeal Ltd</v>
      </c>
    </row>
    <row r="314" spans="1:20">
      <c r="A314" t="s">
        <v>401</v>
      </c>
      <c r="B314" s="1">
        <v>45336</v>
      </c>
      <c r="C314" t="s">
        <v>151</v>
      </c>
      <c r="D314" t="s">
        <v>16</v>
      </c>
      <c r="E314" t="s">
        <v>17</v>
      </c>
      <c r="F314">
        <v>2</v>
      </c>
      <c r="G314">
        <v>112000</v>
      </c>
      <c r="H314">
        <v>60000</v>
      </c>
      <c r="I314">
        <v>52000</v>
      </c>
      <c r="J314">
        <v>20</v>
      </c>
      <c r="K314" t="s">
        <v>18</v>
      </c>
      <c r="L314" t="s">
        <v>26</v>
      </c>
      <c r="M314" t="s">
        <v>37</v>
      </c>
      <c r="N314">
        <v>24</v>
      </c>
      <c r="O314">
        <f t="shared" si="16"/>
        <v>46.43</v>
      </c>
      <c r="P314">
        <f t="shared" si="17"/>
        <v>56000</v>
      </c>
      <c r="Q314" t="str">
        <f>VLOOKUP(C314,Customers!$A:$D,3,0)</f>
        <v>North</v>
      </c>
      <c r="R314" t="str">
        <f t="shared" si="18"/>
        <v>February</v>
      </c>
      <c r="S314">
        <f t="shared" si="19"/>
        <v>2</v>
      </c>
      <c r="T314" t="str">
        <f>VLOOKUP(C314,Customers!$A:$B,2,0)</f>
        <v>HCL Systems</v>
      </c>
    </row>
    <row r="315" spans="1:20">
      <c r="A315" t="s">
        <v>402</v>
      </c>
      <c r="B315" s="1">
        <v>45376</v>
      </c>
      <c r="C315" t="s">
        <v>109</v>
      </c>
      <c r="D315" t="s">
        <v>57</v>
      </c>
      <c r="E315" t="s">
        <v>17</v>
      </c>
      <c r="F315">
        <v>2</v>
      </c>
      <c r="G315">
        <v>96000</v>
      </c>
      <c r="H315">
        <v>50000</v>
      </c>
      <c r="I315">
        <v>46000</v>
      </c>
      <c r="J315">
        <v>20</v>
      </c>
      <c r="K315" t="s">
        <v>30</v>
      </c>
      <c r="L315" t="s">
        <v>26</v>
      </c>
      <c r="M315" t="s">
        <v>37</v>
      </c>
      <c r="N315">
        <v>12</v>
      </c>
      <c r="O315">
        <f t="shared" si="16"/>
        <v>47.92</v>
      </c>
      <c r="P315">
        <f t="shared" si="17"/>
        <v>48000</v>
      </c>
      <c r="Q315" t="str">
        <f>VLOOKUP(C315,Customers!$A:$D,3,0)</f>
        <v>North</v>
      </c>
      <c r="R315" t="str">
        <f t="shared" si="18"/>
        <v>March</v>
      </c>
      <c r="S315">
        <f t="shared" si="19"/>
        <v>3</v>
      </c>
      <c r="T315" t="str">
        <f>VLOOKUP(C315,Customers!$A:$B,2,0)</f>
        <v>MakeMyTrip</v>
      </c>
    </row>
    <row r="316" spans="1:20">
      <c r="A316" t="s">
        <v>403</v>
      </c>
      <c r="B316" s="1">
        <v>45597</v>
      </c>
      <c r="C316" t="s">
        <v>104</v>
      </c>
      <c r="D316" t="s">
        <v>119</v>
      </c>
      <c r="E316" t="s">
        <v>36</v>
      </c>
      <c r="F316">
        <v>3</v>
      </c>
      <c r="G316">
        <v>270000</v>
      </c>
      <c r="H316">
        <v>135000</v>
      </c>
      <c r="I316">
        <v>135000</v>
      </c>
      <c r="J316">
        <v>10</v>
      </c>
      <c r="K316" t="s">
        <v>30</v>
      </c>
      <c r="L316" t="s">
        <v>63</v>
      </c>
      <c r="M316" t="s">
        <v>27</v>
      </c>
      <c r="N316">
        <v>6</v>
      </c>
      <c r="O316">
        <f t="shared" si="16"/>
        <v>50</v>
      </c>
      <c r="P316">
        <f t="shared" si="17"/>
        <v>90000</v>
      </c>
      <c r="Q316" t="str">
        <f>VLOOKUP(C316,Customers!$A:$D,3,0)</f>
        <v>South</v>
      </c>
      <c r="R316" t="str">
        <f t="shared" si="18"/>
        <v>November</v>
      </c>
      <c r="S316">
        <f t="shared" si="19"/>
        <v>11</v>
      </c>
      <c r="T316" t="str">
        <f>VLOOKUP(C316,Customers!$A:$B,2,0)</f>
        <v>Ola Cabs</v>
      </c>
    </row>
    <row r="317" spans="1:20">
      <c r="A317" t="s">
        <v>404</v>
      </c>
      <c r="B317" s="1">
        <v>45502</v>
      </c>
      <c r="C317" t="s">
        <v>15</v>
      </c>
      <c r="D317" t="s">
        <v>61</v>
      </c>
      <c r="E317" t="s">
        <v>62</v>
      </c>
      <c r="F317">
        <v>2</v>
      </c>
      <c r="G317">
        <v>440000</v>
      </c>
      <c r="H317">
        <v>180000</v>
      </c>
      <c r="I317">
        <v>260000</v>
      </c>
      <c r="J317">
        <v>0</v>
      </c>
      <c r="K317" t="s">
        <v>30</v>
      </c>
      <c r="L317" t="s">
        <v>70</v>
      </c>
      <c r="M317" t="s">
        <v>32</v>
      </c>
      <c r="N317">
        <v>24</v>
      </c>
      <c r="O317">
        <f t="shared" si="16"/>
        <v>59.09</v>
      </c>
      <c r="P317">
        <f t="shared" si="17"/>
        <v>220000</v>
      </c>
      <c r="Q317" t="str">
        <f>VLOOKUP(C317,Customers!$A:$D,3,0)</f>
        <v>South</v>
      </c>
      <c r="R317" t="str">
        <f t="shared" si="18"/>
        <v>July</v>
      </c>
      <c r="S317">
        <f t="shared" si="19"/>
        <v>7</v>
      </c>
      <c r="T317" t="str">
        <f>VLOOKUP(C317,Customers!$A:$B,2,0)</f>
        <v>Swiggy Inc</v>
      </c>
    </row>
    <row r="318" spans="1:20">
      <c r="A318" t="s">
        <v>405</v>
      </c>
      <c r="B318" s="1">
        <v>45642</v>
      </c>
      <c r="C318" t="s">
        <v>15</v>
      </c>
      <c r="D318" t="s">
        <v>89</v>
      </c>
      <c r="E318" t="s">
        <v>45</v>
      </c>
      <c r="F318">
        <v>4</v>
      </c>
      <c r="G318">
        <v>608000</v>
      </c>
      <c r="H318">
        <v>280000</v>
      </c>
      <c r="I318">
        <v>328000</v>
      </c>
      <c r="J318">
        <v>5</v>
      </c>
      <c r="K318" t="s">
        <v>30</v>
      </c>
      <c r="L318" t="s">
        <v>19</v>
      </c>
      <c r="M318" t="s">
        <v>59</v>
      </c>
      <c r="N318">
        <v>12</v>
      </c>
      <c r="O318">
        <f t="shared" si="16"/>
        <v>53.95</v>
      </c>
      <c r="P318">
        <f t="shared" si="17"/>
        <v>152000</v>
      </c>
      <c r="Q318" t="str">
        <f>VLOOKUP(C318,Customers!$A:$D,3,0)</f>
        <v>South</v>
      </c>
      <c r="R318" t="str">
        <f t="shared" si="18"/>
        <v>December</v>
      </c>
      <c r="S318">
        <f t="shared" si="19"/>
        <v>12</v>
      </c>
      <c r="T318" t="str">
        <f>VLOOKUP(C318,Customers!$A:$B,2,0)</f>
        <v>Swiggy Inc</v>
      </c>
    </row>
    <row r="319" spans="1:20">
      <c r="A319" t="s">
        <v>406</v>
      </c>
      <c r="B319" s="1">
        <v>45647</v>
      </c>
      <c r="C319" t="s">
        <v>115</v>
      </c>
      <c r="D319" t="s">
        <v>40</v>
      </c>
      <c r="E319" t="s">
        <v>41</v>
      </c>
      <c r="F319">
        <v>4</v>
      </c>
      <c r="G319">
        <v>133000</v>
      </c>
      <c r="H319">
        <v>60000</v>
      </c>
      <c r="I319">
        <v>73000</v>
      </c>
      <c r="J319">
        <v>5</v>
      </c>
      <c r="K319" t="s">
        <v>25</v>
      </c>
      <c r="L319" t="s">
        <v>31</v>
      </c>
      <c r="M319" t="s">
        <v>27</v>
      </c>
      <c r="N319">
        <v>24</v>
      </c>
      <c r="O319">
        <f t="shared" si="16"/>
        <v>54.89</v>
      </c>
      <c r="P319">
        <f t="shared" si="17"/>
        <v>33250</v>
      </c>
      <c r="Q319" t="str">
        <f>VLOOKUP(C319,Customers!$A:$D,3,0)</f>
        <v>North</v>
      </c>
      <c r="R319" t="str">
        <f t="shared" si="18"/>
        <v>December</v>
      </c>
      <c r="S319">
        <f t="shared" si="19"/>
        <v>12</v>
      </c>
      <c r="T319" t="str">
        <f>VLOOKUP(C319,Customers!$A:$B,2,0)</f>
        <v>Paytm Services</v>
      </c>
    </row>
    <row r="320" spans="1:20">
      <c r="A320" t="s">
        <v>407</v>
      </c>
      <c r="B320" s="1">
        <v>45617</v>
      </c>
      <c r="C320" t="s">
        <v>115</v>
      </c>
      <c r="D320" t="s">
        <v>23</v>
      </c>
      <c r="E320" t="s">
        <v>24</v>
      </c>
      <c r="F320">
        <v>5</v>
      </c>
      <c r="G320">
        <v>570000</v>
      </c>
      <c r="H320">
        <v>250000</v>
      </c>
      <c r="I320">
        <v>320000</v>
      </c>
      <c r="J320">
        <v>5</v>
      </c>
      <c r="K320" t="s">
        <v>30</v>
      </c>
      <c r="L320" t="s">
        <v>95</v>
      </c>
      <c r="M320" t="s">
        <v>32</v>
      </c>
      <c r="N320">
        <v>24</v>
      </c>
      <c r="O320">
        <f t="shared" si="16"/>
        <v>56.14</v>
      </c>
      <c r="P320">
        <f t="shared" si="17"/>
        <v>114000</v>
      </c>
      <c r="Q320" t="str">
        <f>VLOOKUP(C320,Customers!$A:$D,3,0)</f>
        <v>North</v>
      </c>
      <c r="R320" t="str">
        <f t="shared" si="18"/>
        <v>November</v>
      </c>
      <c r="S320">
        <f t="shared" si="19"/>
        <v>11</v>
      </c>
      <c r="T320" t="str">
        <f>VLOOKUP(C320,Customers!$A:$B,2,0)</f>
        <v>Paytm Services</v>
      </c>
    </row>
    <row r="321" spans="1:20">
      <c r="A321" t="s">
        <v>408</v>
      </c>
      <c r="B321" s="1">
        <v>45429</v>
      </c>
      <c r="C321" t="s">
        <v>173</v>
      </c>
      <c r="D321" t="s">
        <v>35</v>
      </c>
      <c r="E321" t="s">
        <v>36</v>
      </c>
      <c r="F321">
        <v>5</v>
      </c>
      <c r="G321">
        <v>292500</v>
      </c>
      <c r="H321">
        <v>140000</v>
      </c>
      <c r="I321">
        <v>152500</v>
      </c>
      <c r="J321">
        <v>10</v>
      </c>
      <c r="K321" t="s">
        <v>30</v>
      </c>
      <c r="L321" t="s">
        <v>26</v>
      </c>
      <c r="M321" t="s">
        <v>59</v>
      </c>
      <c r="N321">
        <v>12</v>
      </c>
      <c r="O321">
        <f t="shared" si="16"/>
        <v>52.14</v>
      </c>
      <c r="P321">
        <f t="shared" si="17"/>
        <v>58500</v>
      </c>
      <c r="Q321" t="str">
        <f>VLOOKUP(C321,Customers!$A:$D,3,0)</f>
        <v>South</v>
      </c>
      <c r="R321" t="str">
        <f t="shared" si="18"/>
        <v>May</v>
      </c>
      <c r="S321">
        <f t="shared" si="19"/>
        <v>5</v>
      </c>
      <c r="T321" t="str">
        <f>VLOOKUP(C321,Customers!$A:$B,2,0)</f>
        <v>Byju's Learning</v>
      </c>
    </row>
    <row r="322" spans="1:20">
      <c r="A322" t="s">
        <v>409</v>
      </c>
      <c r="B322" s="1">
        <v>45641</v>
      </c>
      <c r="C322" t="s">
        <v>99</v>
      </c>
      <c r="D322" t="s">
        <v>69</v>
      </c>
      <c r="E322" t="s">
        <v>62</v>
      </c>
      <c r="F322">
        <v>4</v>
      </c>
      <c r="G322">
        <v>380000</v>
      </c>
      <c r="H322">
        <v>160000</v>
      </c>
      <c r="I322">
        <v>220000</v>
      </c>
      <c r="J322">
        <v>0</v>
      </c>
      <c r="K322" t="s">
        <v>30</v>
      </c>
      <c r="L322" t="s">
        <v>51</v>
      </c>
      <c r="M322" t="s">
        <v>59</v>
      </c>
      <c r="N322">
        <v>24</v>
      </c>
      <c r="O322">
        <f t="shared" si="16"/>
        <v>57.89</v>
      </c>
      <c r="P322">
        <f t="shared" si="17"/>
        <v>95000</v>
      </c>
      <c r="Q322" t="str">
        <f>VLOOKUP(C322,Customers!$A:$D,3,0)</f>
        <v>West</v>
      </c>
      <c r="R322" t="str">
        <f t="shared" si="18"/>
        <v>December</v>
      </c>
      <c r="S322">
        <f t="shared" si="19"/>
        <v>12</v>
      </c>
      <c r="T322" t="str">
        <f>VLOOKUP(C322,Customers!$A:$B,2,0)</f>
        <v>Tata Consultancy</v>
      </c>
    </row>
    <row r="323" spans="1:20">
      <c r="A323" t="s">
        <v>410</v>
      </c>
      <c r="B323" s="1">
        <v>45292</v>
      </c>
      <c r="C323" t="s">
        <v>29</v>
      </c>
      <c r="D323" t="s">
        <v>57</v>
      </c>
      <c r="E323" t="s">
        <v>17</v>
      </c>
      <c r="F323">
        <v>2</v>
      </c>
      <c r="G323">
        <v>102000</v>
      </c>
      <c r="H323">
        <v>50000</v>
      </c>
      <c r="I323">
        <v>52000</v>
      </c>
      <c r="J323">
        <v>15</v>
      </c>
      <c r="K323" t="s">
        <v>30</v>
      </c>
      <c r="L323" t="s">
        <v>51</v>
      </c>
      <c r="M323" t="s">
        <v>37</v>
      </c>
      <c r="N323">
        <v>3</v>
      </c>
      <c r="O323">
        <f t="shared" ref="O323:O386" si="20">ROUND((I323/G323)*100,2)</f>
        <v>50.98</v>
      </c>
      <c r="P323">
        <f t="shared" ref="P323:P386" si="21">ROUND(G323/F323,2)</f>
        <v>51000</v>
      </c>
      <c r="Q323" t="str">
        <f>VLOOKUP(C323,Customers!$A:$D,3,0)</f>
        <v>South</v>
      </c>
      <c r="R323" t="str">
        <f t="shared" ref="R323:R386" si="22">TEXT(B323,"MMMM")</f>
        <v>January</v>
      </c>
      <c r="S323">
        <f t="shared" ref="S323:S386" si="23">MONTH(B323)</f>
        <v>1</v>
      </c>
      <c r="T323" t="str">
        <f>VLOOKUP(C323,Customers!$A:$B,2,0)</f>
        <v>Meesho Network</v>
      </c>
    </row>
    <row r="324" spans="1:20">
      <c r="A324" t="s">
        <v>411</v>
      </c>
      <c r="B324" s="1">
        <v>45627</v>
      </c>
      <c r="C324" t="s">
        <v>56</v>
      </c>
      <c r="D324" t="s">
        <v>44</v>
      </c>
      <c r="E324" t="s">
        <v>45</v>
      </c>
      <c r="F324">
        <v>2</v>
      </c>
      <c r="G324">
        <v>560000</v>
      </c>
      <c r="H324">
        <v>240000</v>
      </c>
      <c r="I324">
        <v>320000</v>
      </c>
      <c r="J324">
        <v>0</v>
      </c>
      <c r="K324" t="s">
        <v>30</v>
      </c>
      <c r="L324" t="s">
        <v>97</v>
      </c>
      <c r="M324" t="s">
        <v>32</v>
      </c>
      <c r="N324">
        <v>24</v>
      </c>
      <c r="O324">
        <f t="shared" si="20"/>
        <v>57.14</v>
      </c>
      <c r="P324">
        <f t="shared" si="21"/>
        <v>280000</v>
      </c>
      <c r="Q324" t="str">
        <f>VLOOKUP(C324,Customers!$A:$D,3,0)</f>
        <v>South</v>
      </c>
      <c r="R324" t="str">
        <f t="shared" si="22"/>
        <v>December</v>
      </c>
      <c r="S324">
        <f t="shared" si="23"/>
        <v>12</v>
      </c>
      <c r="T324" t="str">
        <f>VLOOKUP(C324,Customers!$A:$B,2,0)</f>
        <v>Wipro Technologies</v>
      </c>
    </row>
    <row r="325" spans="1:20">
      <c r="A325" t="s">
        <v>412</v>
      </c>
      <c r="B325" s="1">
        <v>45574</v>
      </c>
      <c r="C325" t="s">
        <v>22</v>
      </c>
      <c r="D325" t="s">
        <v>57</v>
      </c>
      <c r="E325" t="s">
        <v>17</v>
      </c>
      <c r="F325">
        <v>4</v>
      </c>
      <c r="G325">
        <v>240000</v>
      </c>
      <c r="H325">
        <v>100000</v>
      </c>
      <c r="I325">
        <v>140000</v>
      </c>
      <c r="J325">
        <v>0</v>
      </c>
      <c r="K325" t="s">
        <v>30</v>
      </c>
      <c r="L325" t="s">
        <v>26</v>
      </c>
      <c r="M325" t="s">
        <v>32</v>
      </c>
      <c r="N325">
        <v>24</v>
      </c>
      <c r="O325">
        <f t="shared" si="20"/>
        <v>58.33</v>
      </c>
      <c r="P325">
        <f t="shared" si="21"/>
        <v>60000</v>
      </c>
      <c r="Q325" t="str">
        <f>VLOOKUP(C325,Customers!$A:$D,3,0)</f>
        <v>South</v>
      </c>
      <c r="R325" t="str">
        <f t="shared" si="22"/>
        <v>October</v>
      </c>
      <c r="S325">
        <f t="shared" si="23"/>
        <v>10</v>
      </c>
      <c r="T325" t="str">
        <f>VLOOKUP(C325,Customers!$A:$B,2,0)</f>
        <v>Infosys Ltd</v>
      </c>
    </row>
    <row r="326" spans="1:20">
      <c r="A326" t="s">
        <v>413</v>
      </c>
      <c r="B326" s="1">
        <v>45605</v>
      </c>
      <c r="C326" t="s">
        <v>139</v>
      </c>
      <c r="D326" t="s">
        <v>69</v>
      </c>
      <c r="E326" t="s">
        <v>62</v>
      </c>
      <c r="F326">
        <v>4</v>
      </c>
      <c r="G326">
        <v>323000</v>
      </c>
      <c r="H326">
        <v>160000</v>
      </c>
      <c r="I326">
        <v>163000</v>
      </c>
      <c r="J326">
        <v>15</v>
      </c>
      <c r="K326" t="s">
        <v>30</v>
      </c>
      <c r="L326" t="s">
        <v>47</v>
      </c>
      <c r="M326" t="s">
        <v>27</v>
      </c>
      <c r="N326">
        <v>6</v>
      </c>
      <c r="O326">
        <f t="shared" si="20"/>
        <v>50.46</v>
      </c>
      <c r="P326">
        <f t="shared" si="21"/>
        <v>80750</v>
      </c>
      <c r="Q326" t="str">
        <f>VLOOKUP(C326,Customers!$A:$D,3,0)</f>
        <v>North</v>
      </c>
      <c r="R326" t="str">
        <f t="shared" si="22"/>
        <v>November</v>
      </c>
      <c r="S326">
        <f t="shared" si="23"/>
        <v>11</v>
      </c>
      <c r="T326" t="str">
        <f>VLOOKUP(C326,Customers!$A:$B,2,0)</f>
        <v>PolicyBazaar</v>
      </c>
    </row>
    <row r="327" spans="1:20">
      <c r="A327" t="s">
        <v>414</v>
      </c>
      <c r="B327" s="1">
        <v>45575</v>
      </c>
      <c r="C327" t="s">
        <v>151</v>
      </c>
      <c r="D327" t="s">
        <v>35</v>
      </c>
      <c r="E327" t="s">
        <v>36</v>
      </c>
      <c r="F327">
        <v>3</v>
      </c>
      <c r="G327">
        <v>185250</v>
      </c>
      <c r="H327">
        <v>84000</v>
      </c>
      <c r="I327">
        <v>101250</v>
      </c>
      <c r="J327">
        <v>5</v>
      </c>
      <c r="K327" t="s">
        <v>30</v>
      </c>
      <c r="L327" t="s">
        <v>95</v>
      </c>
      <c r="M327" t="s">
        <v>32</v>
      </c>
      <c r="N327">
        <v>6</v>
      </c>
      <c r="O327">
        <f t="shared" si="20"/>
        <v>54.66</v>
      </c>
      <c r="P327">
        <f t="shared" si="21"/>
        <v>61750</v>
      </c>
      <c r="Q327" t="str">
        <f>VLOOKUP(C327,Customers!$A:$D,3,0)</f>
        <v>North</v>
      </c>
      <c r="R327" t="str">
        <f t="shared" si="22"/>
        <v>October</v>
      </c>
      <c r="S327">
        <f t="shared" si="23"/>
        <v>10</v>
      </c>
      <c r="T327" t="str">
        <f>VLOOKUP(C327,Customers!$A:$B,2,0)</f>
        <v>HCL Systems</v>
      </c>
    </row>
    <row r="328" spans="1:20">
      <c r="A328" t="s">
        <v>415</v>
      </c>
      <c r="B328" s="1">
        <v>45327</v>
      </c>
      <c r="C328" t="s">
        <v>22</v>
      </c>
      <c r="D328" t="s">
        <v>67</v>
      </c>
      <c r="E328" t="s">
        <v>54</v>
      </c>
      <c r="F328">
        <v>2</v>
      </c>
      <c r="G328">
        <v>167200</v>
      </c>
      <c r="H328">
        <v>76000</v>
      </c>
      <c r="I328">
        <v>91200</v>
      </c>
      <c r="J328">
        <v>5</v>
      </c>
      <c r="K328" t="s">
        <v>30</v>
      </c>
      <c r="L328" t="s">
        <v>58</v>
      </c>
      <c r="M328" t="s">
        <v>32</v>
      </c>
      <c r="N328">
        <v>24</v>
      </c>
      <c r="O328">
        <f t="shared" si="20"/>
        <v>54.55</v>
      </c>
      <c r="P328">
        <f t="shared" si="21"/>
        <v>83600</v>
      </c>
      <c r="Q328" t="str">
        <f>VLOOKUP(C328,Customers!$A:$D,3,0)</f>
        <v>South</v>
      </c>
      <c r="R328" t="str">
        <f t="shared" si="22"/>
        <v>February</v>
      </c>
      <c r="S328">
        <f t="shared" si="23"/>
        <v>2</v>
      </c>
      <c r="T328" t="str">
        <f>VLOOKUP(C328,Customers!$A:$B,2,0)</f>
        <v>Infosys Ltd</v>
      </c>
    </row>
    <row r="329" spans="1:20">
      <c r="A329" t="s">
        <v>416</v>
      </c>
      <c r="B329" s="1">
        <v>45607</v>
      </c>
      <c r="C329" t="s">
        <v>43</v>
      </c>
      <c r="D329" t="s">
        <v>57</v>
      </c>
      <c r="E329" t="s">
        <v>17</v>
      </c>
      <c r="F329">
        <v>1</v>
      </c>
      <c r="G329">
        <v>60000</v>
      </c>
      <c r="H329">
        <v>25000</v>
      </c>
      <c r="I329">
        <v>35000</v>
      </c>
      <c r="J329">
        <v>0</v>
      </c>
      <c r="K329" t="s">
        <v>30</v>
      </c>
      <c r="L329" t="s">
        <v>19</v>
      </c>
      <c r="M329" t="s">
        <v>20</v>
      </c>
      <c r="N329">
        <v>24</v>
      </c>
      <c r="O329">
        <f t="shared" si="20"/>
        <v>58.33</v>
      </c>
      <c r="P329">
        <f t="shared" si="21"/>
        <v>60000</v>
      </c>
      <c r="Q329" t="str">
        <f>VLOOKUP(C329,Customers!$A:$D,3,0)</f>
        <v>South</v>
      </c>
      <c r="R329" t="str">
        <f t="shared" si="22"/>
        <v>November</v>
      </c>
      <c r="S329">
        <f t="shared" si="23"/>
        <v>11</v>
      </c>
      <c r="T329" t="str">
        <f>VLOOKUP(C329,Customers!$A:$B,2,0)</f>
        <v>Groww Invest</v>
      </c>
    </row>
    <row r="330" spans="1:20">
      <c r="A330" t="s">
        <v>417</v>
      </c>
      <c r="B330" s="1">
        <v>45471</v>
      </c>
      <c r="C330" t="s">
        <v>104</v>
      </c>
      <c r="D330" t="s">
        <v>61</v>
      </c>
      <c r="E330" t="s">
        <v>62</v>
      </c>
      <c r="F330">
        <v>2</v>
      </c>
      <c r="G330">
        <v>418000</v>
      </c>
      <c r="H330">
        <v>180000</v>
      </c>
      <c r="I330">
        <v>238000</v>
      </c>
      <c r="J330">
        <v>5</v>
      </c>
      <c r="K330" t="s">
        <v>18</v>
      </c>
      <c r="L330" t="s">
        <v>19</v>
      </c>
      <c r="M330" t="s">
        <v>32</v>
      </c>
      <c r="N330">
        <v>12</v>
      </c>
      <c r="O330">
        <f t="shared" si="20"/>
        <v>56.94</v>
      </c>
      <c r="P330">
        <f t="shared" si="21"/>
        <v>209000</v>
      </c>
      <c r="Q330" t="str">
        <f>VLOOKUP(C330,Customers!$A:$D,3,0)</f>
        <v>South</v>
      </c>
      <c r="R330" t="str">
        <f t="shared" si="22"/>
        <v>June</v>
      </c>
      <c r="S330">
        <f t="shared" si="23"/>
        <v>6</v>
      </c>
      <c r="T330" t="str">
        <f>VLOOKUP(C330,Customers!$A:$B,2,0)</f>
        <v>Ola Cabs</v>
      </c>
    </row>
    <row r="331" spans="1:20">
      <c r="A331" t="s">
        <v>418</v>
      </c>
      <c r="B331" s="1">
        <v>45646</v>
      </c>
      <c r="C331" t="s">
        <v>94</v>
      </c>
      <c r="D331" t="s">
        <v>119</v>
      </c>
      <c r="E331" t="s">
        <v>36</v>
      </c>
      <c r="F331">
        <v>2</v>
      </c>
      <c r="G331">
        <v>180000</v>
      </c>
      <c r="H331">
        <v>90000</v>
      </c>
      <c r="I331">
        <v>90000</v>
      </c>
      <c r="J331">
        <v>10</v>
      </c>
      <c r="K331" t="s">
        <v>25</v>
      </c>
      <c r="L331" t="s">
        <v>63</v>
      </c>
      <c r="M331" t="s">
        <v>32</v>
      </c>
      <c r="N331">
        <v>24</v>
      </c>
      <c r="O331">
        <f t="shared" si="20"/>
        <v>50</v>
      </c>
      <c r="P331">
        <f t="shared" si="21"/>
        <v>90000</v>
      </c>
      <c r="Q331" t="str">
        <f>VLOOKUP(C331,Customers!$A:$D,3,0)</f>
        <v>South</v>
      </c>
      <c r="R331" t="str">
        <f t="shared" si="22"/>
        <v>December</v>
      </c>
      <c r="S331">
        <f t="shared" si="23"/>
        <v>12</v>
      </c>
      <c r="T331" t="str">
        <f>VLOOKUP(C331,Customers!$A:$B,2,0)</f>
        <v>PhonePe Pay</v>
      </c>
    </row>
    <row r="332" spans="1:20">
      <c r="A332" t="s">
        <v>419</v>
      </c>
      <c r="B332" s="1">
        <v>45443</v>
      </c>
      <c r="C332" t="s">
        <v>109</v>
      </c>
      <c r="D332" t="s">
        <v>16</v>
      </c>
      <c r="E332" t="s">
        <v>17</v>
      </c>
      <c r="F332">
        <v>4</v>
      </c>
      <c r="G332">
        <v>266000</v>
      </c>
      <c r="H332">
        <v>120000</v>
      </c>
      <c r="I332">
        <v>146000</v>
      </c>
      <c r="J332">
        <v>5</v>
      </c>
      <c r="K332" t="s">
        <v>30</v>
      </c>
      <c r="L332" t="s">
        <v>58</v>
      </c>
      <c r="M332" t="s">
        <v>59</v>
      </c>
      <c r="N332">
        <v>3</v>
      </c>
      <c r="O332">
        <f t="shared" si="20"/>
        <v>54.89</v>
      </c>
      <c r="P332">
        <f t="shared" si="21"/>
        <v>66500</v>
      </c>
      <c r="Q332" t="str">
        <f>VLOOKUP(C332,Customers!$A:$D,3,0)</f>
        <v>North</v>
      </c>
      <c r="R332" t="str">
        <f t="shared" si="22"/>
        <v>May</v>
      </c>
      <c r="S332">
        <f t="shared" si="23"/>
        <v>5</v>
      </c>
      <c r="T332" t="str">
        <f>VLOOKUP(C332,Customers!$A:$B,2,0)</f>
        <v>MakeMyTrip</v>
      </c>
    </row>
    <row r="333" spans="1:20">
      <c r="A333" t="s">
        <v>420</v>
      </c>
      <c r="B333" s="1">
        <v>45562</v>
      </c>
      <c r="C333" t="s">
        <v>22</v>
      </c>
      <c r="D333" t="s">
        <v>44</v>
      </c>
      <c r="E333" t="s">
        <v>45</v>
      </c>
      <c r="F333">
        <v>3</v>
      </c>
      <c r="G333">
        <v>840000</v>
      </c>
      <c r="H333">
        <v>360000</v>
      </c>
      <c r="I333">
        <v>480000</v>
      </c>
      <c r="J333">
        <v>0</v>
      </c>
      <c r="K333" t="s">
        <v>30</v>
      </c>
      <c r="L333" t="s">
        <v>26</v>
      </c>
      <c r="M333" t="s">
        <v>59</v>
      </c>
      <c r="N333">
        <v>12</v>
      </c>
      <c r="O333">
        <f t="shared" si="20"/>
        <v>57.14</v>
      </c>
      <c r="P333">
        <f t="shared" si="21"/>
        <v>280000</v>
      </c>
      <c r="Q333" t="str">
        <f>VLOOKUP(C333,Customers!$A:$D,3,0)</f>
        <v>South</v>
      </c>
      <c r="R333" t="str">
        <f t="shared" si="22"/>
        <v>September</v>
      </c>
      <c r="S333">
        <f t="shared" si="23"/>
        <v>9</v>
      </c>
      <c r="T333" t="str">
        <f>VLOOKUP(C333,Customers!$A:$B,2,0)</f>
        <v>Infosys Ltd</v>
      </c>
    </row>
    <row r="334" spans="1:20">
      <c r="A334" t="s">
        <v>421</v>
      </c>
      <c r="B334" s="1">
        <v>45571</v>
      </c>
      <c r="C334" t="s">
        <v>34</v>
      </c>
      <c r="D334" t="s">
        <v>76</v>
      </c>
      <c r="E334" t="s">
        <v>41</v>
      </c>
      <c r="F334">
        <v>1</v>
      </c>
      <c r="G334">
        <v>42000</v>
      </c>
      <c r="H334">
        <v>18000</v>
      </c>
      <c r="I334">
        <v>24000</v>
      </c>
      <c r="J334">
        <v>0</v>
      </c>
      <c r="K334" t="s">
        <v>25</v>
      </c>
      <c r="L334" t="s">
        <v>19</v>
      </c>
      <c r="M334" t="s">
        <v>27</v>
      </c>
      <c r="N334">
        <v>12</v>
      </c>
      <c r="O334">
        <f t="shared" si="20"/>
        <v>57.14</v>
      </c>
      <c r="P334">
        <f t="shared" si="21"/>
        <v>42000</v>
      </c>
      <c r="Q334" t="str">
        <f>VLOOKUP(C334,Customers!$A:$D,3,0)</f>
        <v>North</v>
      </c>
      <c r="R334" t="str">
        <f t="shared" si="22"/>
        <v>October</v>
      </c>
      <c r="S334">
        <f t="shared" si="23"/>
        <v>10</v>
      </c>
      <c r="T334" t="str">
        <f>VLOOKUP(C334,Customers!$A:$B,2,0)</f>
        <v>Snapdeal Ltd</v>
      </c>
    </row>
    <row r="335" spans="1:20">
      <c r="A335" t="s">
        <v>422</v>
      </c>
      <c r="B335" s="1">
        <v>45569</v>
      </c>
      <c r="C335" t="s">
        <v>109</v>
      </c>
      <c r="D335" t="s">
        <v>154</v>
      </c>
      <c r="E335" t="s">
        <v>45</v>
      </c>
      <c r="F335">
        <v>5</v>
      </c>
      <c r="G335">
        <v>617500</v>
      </c>
      <c r="H335">
        <v>275000</v>
      </c>
      <c r="I335">
        <v>342500</v>
      </c>
      <c r="J335">
        <v>5</v>
      </c>
      <c r="K335" t="s">
        <v>18</v>
      </c>
      <c r="L335" t="s">
        <v>63</v>
      </c>
      <c r="M335" t="s">
        <v>59</v>
      </c>
      <c r="N335">
        <v>24</v>
      </c>
      <c r="O335">
        <f t="shared" si="20"/>
        <v>55.47</v>
      </c>
      <c r="P335">
        <f t="shared" si="21"/>
        <v>123500</v>
      </c>
      <c r="Q335" t="str">
        <f>VLOOKUP(C335,Customers!$A:$D,3,0)</f>
        <v>North</v>
      </c>
      <c r="R335" t="str">
        <f t="shared" si="22"/>
        <v>October</v>
      </c>
      <c r="S335">
        <f t="shared" si="23"/>
        <v>10</v>
      </c>
      <c r="T335" t="str">
        <f>VLOOKUP(C335,Customers!$A:$B,2,0)</f>
        <v>MakeMyTrip</v>
      </c>
    </row>
    <row r="336" spans="1:20">
      <c r="A336" t="s">
        <v>423</v>
      </c>
      <c r="B336" s="1">
        <v>45651</v>
      </c>
      <c r="C336" t="s">
        <v>158</v>
      </c>
      <c r="D336" t="s">
        <v>53</v>
      </c>
      <c r="E336" t="s">
        <v>54</v>
      </c>
      <c r="F336">
        <v>5</v>
      </c>
      <c r="G336">
        <v>900000</v>
      </c>
      <c r="H336">
        <v>425000</v>
      </c>
      <c r="I336">
        <v>475000</v>
      </c>
      <c r="J336">
        <v>10</v>
      </c>
      <c r="K336" t="s">
        <v>30</v>
      </c>
      <c r="L336" t="s">
        <v>97</v>
      </c>
      <c r="M336" t="s">
        <v>27</v>
      </c>
      <c r="N336">
        <v>12</v>
      </c>
      <c r="O336">
        <f t="shared" si="20"/>
        <v>52.78</v>
      </c>
      <c r="P336">
        <f t="shared" si="21"/>
        <v>180000</v>
      </c>
      <c r="Q336" t="str">
        <f>VLOOKUP(C336,Customers!$A:$D,3,0)</f>
        <v>West</v>
      </c>
      <c r="R336" t="str">
        <f t="shared" si="22"/>
        <v>December</v>
      </c>
      <c r="S336">
        <f t="shared" si="23"/>
        <v>12</v>
      </c>
      <c r="T336" t="str">
        <f>VLOOKUP(C336,Customers!$A:$B,2,0)</f>
        <v>Tanishq Retail</v>
      </c>
    </row>
    <row r="337" spans="1:20">
      <c r="A337" t="s">
        <v>424</v>
      </c>
      <c r="B337" s="1">
        <v>45332</v>
      </c>
      <c r="C337" t="s">
        <v>73</v>
      </c>
      <c r="D337" t="s">
        <v>61</v>
      </c>
      <c r="E337" t="s">
        <v>62</v>
      </c>
      <c r="F337">
        <v>5</v>
      </c>
      <c r="G337">
        <v>1045000</v>
      </c>
      <c r="H337">
        <v>450000</v>
      </c>
      <c r="I337">
        <v>595000</v>
      </c>
      <c r="J337">
        <v>5</v>
      </c>
      <c r="K337" t="s">
        <v>30</v>
      </c>
      <c r="L337" t="s">
        <v>26</v>
      </c>
      <c r="M337" t="s">
        <v>27</v>
      </c>
      <c r="N337">
        <v>12</v>
      </c>
      <c r="O337">
        <f t="shared" si="20"/>
        <v>56.94</v>
      </c>
      <c r="P337">
        <f t="shared" si="21"/>
        <v>209000</v>
      </c>
      <c r="Q337" t="str">
        <f>VLOOKUP(C337,Customers!$A:$D,3,0)</f>
        <v>West</v>
      </c>
      <c r="R337" t="str">
        <f t="shared" si="22"/>
        <v>February</v>
      </c>
      <c r="S337">
        <f t="shared" si="23"/>
        <v>2</v>
      </c>
      <c r="T337" t="str">
        <f>VLOOKUP(C337,Customers!$A:$B,2,0)</f>
        <v>ICICI Tech</v>
      </c>
    </row>
    <row r="338" spans="1:20">
      <c r="A338" t="s">
        <v>425</v>
      </c>
      <c r="B338" s="1">
        <v>45649</v>
      </c>
      <c r="C338" t="s">
        <v>43</v>
      </c>
      <c r="D338" t="s">
        <v>16</v>
      </c>
      <c r="E338" t="s">
        <v>17</v>
      </c>
      <c r="F338">
        <v>1</v>
      </c>
      <c r="G338">
        <v>70000</v>
      </c>
      <c r="H338">
        <v>30000</v>
      </c>
      <c r="I338">
        <v>40000</v>
      </c>
      <c r="J338">
        <v>0</v>
      </c>
      <c r="K338" t="s">
        <v>30</v>
      </c>
      <c r="L338" t="s">
        <v>95</v>
      </c>
      <c r="M338" t="s">
        <v>27</v>
      </c>
      <c r="N338">
        <v>24</v>
      </c>
      <c r="O338">
        <f t="shared" si="20"/>
        <v>57.14</v>
      </c>
      <c r="P338">
        <f t="shared" si="21"/>
        <v>70000</v>
      </c>
      <c r="Q338" t="str">
        <f>VLOOKUP(C338,Customers!$A:$D,3,0)</f>
        <v>South</v>
      </c>
      <c r="R338" t="str">
        <f t="shared" si="22"/>
        <v>December</v>
      </c>
      <c r="S338">
        <f t="shared" si="23"/>
        <v>12</v>
      </c>
      <c r="T338" t="str">
        <f>VLOOKUP(C338,Customers!$A:$B,2,0)</f>
        <v>Groww Invest</v>
      </c>
    </row>
    <row r="339" spans="1:20">
      <c r="A339" t="s">
        <v>426</v>
      </c>
      <c r="B339" s="1">
        <v>45605</v>
      </c>
      <c r="C339" t="s">
        <v>173</v>
      </c>
      <c r="D339" t="s">
        <v>101</v>
      </c>
      <c r="E339" t="s">
        <v>62</v>
      </c>
      <c r="F339">
        <v>1</v>
      </c>
      <c r="G339">
        <v>80000</v>
      </c>
      <c r="H339">
        <v>35000</v>
      </c>
      <c r="I339">
        <v>45000</v>
      </c>
      <c r="J339">
        <v>0</v>
      </c>
      <c r="K339" t="s">
        <v>18</v>
      </c>
      <c r="L339" t="s">
        <v>51</v>
      </c>
      <c r="M339" t="s">
        <v>27</v>
      </c>
      <c r="N339">
        <v>6</v>
      </c>
      <c r="O339">
        <f t="shared" si="20"/>
        <v>56.25</v>
      </c>
      <c r="P339">
        <f t="shared" si="21"/>
        <v>80000</v>
      </c>
      <c r="Q339" t="str">
        <f>VLOOKUP(C339,Customers!$A:$D,3,0)</f>
        <v>South</v>
      </c>
      <c r="R339" t="str">
        <f t="shared" si="22"/>
        <v>November</v>
      </c>
      <c r="S339">
        <f t="shared" si="23"/>
        <v>11</v>
      </c>
      <c r="T339" t="str">
        <f>VLOOKUP(C339,Customers!$A:$B,2,0)</f>
        <v>Byju's Learning</v>
      </c>
    </row>
    <row r="340" spans="1:20">
      <c r="A340" t="s">
        <v>427</v>
      </c>
      <c r="B340" s="1">
        <v>45546</v>
      </c>
      <c r="C340" t="s">
        <v>124</v>
      </c>
      <c r="D340" t="s">
        <v>80</v>
      </c>
      <c r="E340" t="s">
        <v>41</v>
      </c>
      <c r="F340">
        <v>3</v>
      </c>
      <c r="G340">
        <v>156000</v>
      </c>
      <c r="H340">
        <v>66000</v>
      </c>
      <c r="I340">
        <v>90000</v>
      </c>
      <c r="J340">
        <v>0</v>
      </c>
      <c r="K340" t="s">
        <v>30</v>
      </c>
      <c r="L340" t="s">
        <v>51</v>
      </c>
      <c r="M340" t="s">
        <v>37</v>
      </c>
      <c r="N340">
        <v>3</v>
      </c>
      <c r="O340">
        <f t="shared" si="20"/>
        <v>57.69</v>
      </c>
      <c r="P340">
        <f t="shared" si="21"/>
        <v>52000</v>
      </c>
      <c r="Q340" t="str">
        <f>VLOOKUP(C340,Customers!$A:$D,3,0)</f>
        <v>South</v>
      </c>
      <c r="R340" t="str">
        <f t="shared" si="22"/>
        <v>September</v>
      </c>
      <c r="S340">
        <f t="shared" si="23"/>
        <v>9</v>
      </c>
      <c r="T340" t="str">
        <f>VLOOKUP(C340,Customers!$A:$B,2,0)</f>
        <v>Zerodha Capital</v>
      </c>
    </row>
    <row r="341" spans="1:20">
      <c r="A341" t="s">
        <v>428</v>
      </c>
      <c r="B341" s="1">
        <v>45307</v>
      </c>
      <c r="C341" t="s">
        <v>29</v>
      </c>
      <c r="D341" t="s">
        <v>50</v>
      </c>
      <c r="E341" t="s">
        <v>17</v>
      </c>
      <c r="F341">
        <v>5</v>
      </c>
      <c r="G341">
        <v>250000</v>
      </c>
      <c r="H341">
        <v>100000</v>
      </c>
      <c r="I341">
        <v>150000</v>
      </c>
      <c r="J341">
        <v>0</v>
      </c>
      <c r="K341" t="s">
        <v>30</v>
      </c>
      <c r="L341" t="s">
        <v>26</v>
      </c>
      <c r="M341" t="s">
        <v>27</v>
      </c>
      <c r="N341">
        <v>24</v>
      </c>
      <c r="O341">
        <f t="shared" si="20"/>
        <v>60</v>
      </c>
      <c r="P341">
        <f t="shared" si="21"/>
        <v>50000</v>
      </c>
      <c r="Q341" t="str">
        <f>VLOOKUP(C341,Customers!$A:$D,3,0)</f>
        <v>South</v>
      </c>
      <c r="R341" t="str">
        <f t="shared" si="22"/>
        <v>January</v>
      </c>
      <c r="S341">
        <f t="shared" si="23"/>
        <v>1</v>
      </c>
      <c r="T341" t="str">
        <f>VLOOKUP(C341,Customers!$A:$B,2,0)</f>
        <v>Meesho Network</v>
      </c>
    </row>
    <row r="342" spans="1:20">
      <c r="A342" t="s">
        <v>429</v>
      </c>
      <c r="B342" s="1">
        <v>45525</v>
      </c>
      <c r="C342" t="s">
        <v>99</v>
      </c>
      <c r="D342" t="s">
        <v>76</v>
      </c>
      <c r="E342" t="s">
        <v>41</v>
      </c>
      <c r="F342">
        <v>5</v>
      </c>
      <c r="G342">
        <v>210000</v>
      </c>
      <c r="H342">
        <v>90000</v>
      </c>
      <c r="I342">
        <v>120000</v>
      </c>
      <c r="J342">
        <v>0</v>
      </c>
      <c r="K342" t="s">
        <v>30</v>
      </c>
      <c r="L342" t="s">
        <v>51</v>
      </c>
      <c r="M342" t="s">
        <v>37</v>
      </c>
      <c r="N342">
        <v>3</v>
      </c>
      <c r="O342">
        <f t="shared" si="20"/>
        <v>57.14</v>
      </c>
      <c r="P342">
        <f t="shared" si="21"/>
        <v>42000</v>
      </c>
      <c r="Q342" t="str">
        <f>VLOOKUP(C342,Customers!$A:$D,3,0)</f>
        <v>West</v>
      </c>
      <c r="R342" t="str">
        <f t="shared" si="22"/>
        <v>August</v>
      </c>
      <c r="S342">
        <f t="shared" si="23"/>
        <v>8</v>
      </c>
      <c r="T342" t="str">
        <f>VLOOKUP(C342,Customers!$A:$B,2,0)</f>
        <v>Tata Consultancy</v>
      </c>
    </row>
    <row r="343" spans="1:20">
      <c r="A343" t="s">
        <v>430</v>
      </c>
      <c r="B343" s="1">
        <v>45585</v>
      </c>
      <c r="C343" t="s">
        <v>151</v>
      </c>
      <c r="D343" t="s">
        <v>16</v>
      </c>
      <c r="E343" t="s">
        <v>17</v>
      </c>
      <c r="F343">
        <v>5</v>
      </c>
      <c r="G343">
        <v>350000</v>
      </c>
      <c r="H343">
        <v>150000</v>
      </c>
      <c r="I343">
        <v>200000</v>
      </c>
      <c r="J343">
        <v>0</v>
      </c>
      <c r="K343" t="s">
        <v>30</v>
      </c>
      <c r="L343" t="s">
        <v>31</v>
      </c>
      <c r="M343" t="s">
        <v>32</v>
      </c>
      <c r="N343">
        <v>3</v>
      </c>
      <c r="O343">
        <f t="shared" si="20"/>
        <v>57.14</v>
      </c>
      <c r="P343">
        <f t="shared" si="21"/>
        <v>70000</v>
      </c>
      <c r="Q343" t="str">
        <f>VLOOKUP(C343,Customers!$A:$D,3,0)</f>
        <v>North</v>
      </c>
      <c r="R343" t="str">
        <f t="shared" si="22"/>
        <v>October</v>
      </c>
      <c r="S343">
        <f t="shared" si="23"/>
        <v>10</v>
      </c>
      <c r="T343" t="str">
        <f>VLOOKUP(C343,Customers!$A:$B,2,0)</f>
        <v>HCL Systems</v>
      </c>
    </row>
    <row r="344" spans="1:20">
      <c r="A344" t="s">
        <v>431</v>
      </c>
      <c r="B344" s="1">
        <v>45533</v>
      </c>
      <c r="C344" t="s">
        <v>136</v>
      </c>
      <c r="D344" t="s">
        <v>61</v>
      </c>
      <c r="E344" t="s">
        <v>62</v>
      </c>
      <c r="F344">
        <v>2</v>
      </c>
      <c r="G344">
        <v>352000</v>
      </c>
      <c r="H344">
        <v>180000</v>
      </c>
      <c r="I344">
        <v>172000</v>
      </c>
      <c r="J344">
        <v>20</v>
      </c>
      <c r="K344" t="s">
        <v>30</v>
      </c>
      <c r="L344" t="s">
        <v>63</v>
      </c>
      <c r="M344" t="s">
        <v>59</v>
      </c>
      <c r="N344">
        <v>6</v>
      </c>
      <c r="O344">
        <f t="shared" si="20"/>
        <v>48.86</v>
      </c>
      <c r="P344">
        <f t="shared" si="21"/>
        <v>176000</v>
      </c>
      <c r="Q344" t="str">
        <f>VLOOKUP(C344,Customers!$A:$D,3,0)</f>
        <v>North</v>
      </c>
      <c r="R344" t="str">
        <f t="shared" si="22"/>
        <v>August</v>
      </c>
      <c r="S344">
        <f t="shared" si="23"/>
        <v>8</v>
      </c>
      <c r="T344" t="str">
        <f>VLOOKUP(C344,Customers!$A:$B,2,0)</f>
        <v>BharatPe</v>
      </c>
    </row>
    <row r="345" spans="1:20">
      <c r="A345" t="s">
        <v>432</v>
      </c>
      <c r="B345" s="1">
        <v>45654</v>
      </c>
      <c r="C345" t="s">
        <v>104</v>
      </c>
      <c r="D345" t="s">
        <v>50</v>
      </c>
      <c r="E345" t="s">
        <v>17</v>
      </c>
      <c r="F345">
        <v>1</v>
      </c>
      <c r="G345">
        <v>45000</v>
      </c>
      <c r="H345">
        <v>20000</v>
      </c>
      <c r="I345">
        <v>25000</v>
      </c>
      <c r="J345">
        <v>10</v>
      </c>
      <c r="K345" t="s">
        <v>30</v>
      </c>
      <c r="L345" t="s">
        <v>19</v>
      </c>
      <c r="M345" t="s">
        <v>20</v>
      </c>
      <c r="N345">
        <v>3</v>
      </c>
      <c r="O345">
        <f t="shared" si="20"/>
        <v>55.56</v>
      </c>
      <c r="P345">
        <f t="shared" si="21"/>
        <v>45000</v>
      </c>
      <c r="Q345" t="str">
        <f>VLOOKUP(C345,Customers!$A:$D,3,0)</f>
        <v>South</v>
      </c>
      <c r="R345" t="str">
        <f t="shared" si="22"/>
        <v>December</v>
      </c>
      <c r="S345">
        <f t="shared" si="23"/>
        <v>12</v>
      </c>
      <c r="T345" t="str">
        <f>VLOOKUP(C345,Customers!$A:$B,2,0)</f>
        <v>Ola Cabs</v>
      </c>
    </row>
    <row r="346" spans="1:20">
      <c r="A346" t="s">
        <v>433</v>
      </c>
      <c r="B346" s="1">
        <v>45628</v>
      </c>
      <c r="C346" t="s">
        <v>99</v>
      </c>
      <c r="D346" t="s">
        <v>154</v>
      </c>
      <c r="E346" t="s">
        <v>45</v>
      </c>
      <c r="F346">
        <v>1</v>
      </c>
      <c r="G346">
        <v>123500</v>
      </c>
      <c r="H346">
        <v>55000</v>
      </c>
      <c r="I346">
        <v>68500</v>
      </c>
      <c r="J346">
        <v>5</v>
      </c>
      <c r="K346" t="s">
        <v>30</v>
      </c>
      <c r="L346" t="s">
        <v>97</v>
      </c>
      <c r="M346" t="s">
        <v>37</v>
      </c>
      <c r="N346">
        <v>3</v>
      </c>
      <c r="O346">
        <f t="shared" si="20"/>
        <v>55.47</v>
      </c>
      <c r="P346">
        <f t="shared" si="21"/>
        <v>123500</v>
      </c>
      <c r="Q346" t="str">
        <f>VLOOKUP(C346,Customers!$A:$D,3,0)</f>
        <v>West</v>
      </c>
      <c r="R346" t="str">
        <f t="shared" si="22"/>
        <v>December</v>
      </c>
      <c r="S346">
        <f t="shared" si="23"/>
        <v>12</v>
      </c>
      <c r="T346" t="str">
        <f>VLOOKUP(C346,Customers!$A:$B,2,0)</f>
        <v>Tata Consultancy</v>
      </c>
    </row>
    <row r="347" spans="1:20">
      <c r="A347" t="s">
        <v>434</v>
      </c>
      <c r="B347" s="1">
        <v>45575</v>
      </c>
      <c r="C347" t="s">
        <v>115</v>
      </c>
      <c r="D347" t="s">
        <v>57</v>
      </c>
      <c r="E347" t="s">
        <v>17</v>
      </c>
      <c r="F347">
        <v>3</v>
      </c>
      <c r="G347">
        <v>162000</v>
      </c>
      <c r="H347">
        <v>75000</v>
      </c>
      <c r="I347">
        <v>87000</v>
      </c>
      <c r="J347">
        <v>10</v>
      </c>
      <c r="K347" t="s">
        <v>30</v>
      </c>
      <c r="L347" t="s">
        <v>26</v>
      </c>
      <c r="M347" t="s">
        <v>32</v>
      </c>
      <c r="N347">
        <v>24</v>
      </c>
      <c r="O347">
        <f t="shared" si="20"/>
        <v>53.7</v>
      </c>
      <c r="P347">
        <f t="shared" si="21"/>
        <v>54000</v>
      </c>
      <c r="Q347" t="str">
        <f>VLOOKUP(C347,Customers!$A:$D,3,0)</f>
        <v>North</v>
      </c>
      <c r="R347" t="str">
        <f t="shared" si="22"/>
        <v>October</v>
      </c>
      <c r="S347">
        <f t="shared" si="23"/>
        <v>10</v>
      </c>
      <c r="T347" t="str">
        <f>VLOOKUP(C347,Customers!$A:$B,2,0)</f>
        <v>Paytm Services</v>
      </c>
    </row>
    <row r="348" spans="1:20">
      <c r="A348" t="s">
        <v>435</v>
      </c>
      <c r="B348" s="1">
        <v>45480</v>
      </c>
      <c r="C348" t="s">
        <v>133</v>
      </c>
      <c r="D348" t="s">
        <v>57</v>
      </c>
      <c r="E348" t="s">
        <v>17</v>
      </c>
      <c r="F348">
        <v>5</v>
      </c>
      <c r="G348">
        <v>240000</v>
      </c>
      <c r="H348">
        <v>125000</v>
      </c>
      <c r="I348">
        <v>115000</v>
      </c>
      <c r="J348">
        <v>20</v>
      </c>
      <c r="K348" t="s">
        <v>30</v>
      </c>
      <c r="L348" t="s">
        <v>51</v>
      </c>
      <c r="M348" t="s">
        <v>27</v>
      </c>
      <c r="N348">
        <v>24</v>
      </c>
      <c r="O348">
        <f t="shared" si="20"/>
        <v>47.92</v>
      </c>
      <c r="P348">
        <f t="shared" si="21"/>
        <v>48000</v>
      </c>
      <c r="Q348" t="str">
        <f>VLOOKUP(C348,Customers!$A:$D,3,0)</f>
        <v>South</v>
      </c>
      <c r="R348" t="str">
        <f t="shared" si="22"/>
        <v>July</v>
      </c>
      <c r="S348">
        <f t="shared" si="23"/>
        <v>7</v>
      </c>
      <c r="T348" t="str">
        <f>VLOOKUP(C348,Customers!$A:$B,2,0)</f>
        <v>Razorpay Tech</v>
      </c>
    </row>
    <row r="349" spans="1:20">
      <c r="A349" t="s">
        <v>436</v>
      </c>
      <c r="B349" s="1">
        <v>45606</v>
      </c>
      <c r="C349" t="s">
        <v>158</v>
      </c>
      <c r="D349" t="s">
        <v>92</v>
      </c>
      <c r="E349" t="s">
        <v>24</v>
      </c>
      <c r="F349">
        <v>3</v>
      </c>
      <c r="G349">
        <v>540000</v>
      </c>
      <c r="H349">
        <v>240000</v>
      </c>
      <c r="I349">
        <v>300000</v>
      </c>
      <c r="J349">
        <v>0</v>
      </c>
      <c r="K349" t="s">
        <v>18</v>
      </c>
      <c r="L349" t="s">
        <v>95</v>
      </c>
      <c r="M349" t="s">
        <v>37</v>
      </c>
      <c r="N349">
        <v>3</v>
      </c>
      <c r="O349">
        <f t="shared" si="20"/>
        <v>55.56</v>
      </c>
      <c r="P349">
        <f t="shared" si="21"/>
        <v>180000</v>
      </c>
      <c r="Q349" t="str">
        <f>VLOOKUP(C349,Customers!$A:$D,3,0)</f>
        <v>West</v>
      </c>
      <c r="R349" t="str">
        <f t="shared" si="22"/>
        <v>November</v>
      </c>
      <c r="S349">
        <f t="shared" si="23"/>
        <v>11</v>
      </c>
      <c r="T349" t="str">
        <f>VLOOKUP(C349,Customers!$A:$B,2,0)</f>
        <v>Tanishq Retail</v>
      </c>
    </row>
    <row r="350" spans="1:20">
      <c r="A350" t="s">
        <v>437</v>
      </c>
      <c r="B350" s="1">
        <v>45397</v>
      </c>
      <c r="C350" t="s">
        <v>65</v>
      </c>
      <c r="D350" t="s">
        <v>89</v>
      </c>
      <c r="E350" t="s">
        <v>45</v>
      </c>
      <c r="F350">
        <v>4</v>
      </c>
      <c r="G350">
        <v>640000</v>
      </c>
      <c r="H350">
        <v>280000</v>
      </c>
      <c r="I350">
        <v>360000</v>
      </c>
      <c r="J350">
        <v>0</v>
      </c>
      <c r="K350" t="s">
        <v>30</v>
      </c>
      <c r="L350" t="s">
        <v>97</v>
      </c>
      <c r="M350" t="s">
        <v>27</v>
      </c>
      <c r="N350">
        <v>3</v>
      </c>
      <c r="O350">
        <f t="shared" si="20"/>
        <v>56.25</v>
      </c>
      <c r="P350">
        <f t="shared" si="21"/>
        <v>160000</v>
      </c>
      <c r="Q350" t="str">
        <f>VLOOKUP(C350,Customers!$A:$D,3,0)</f>
        <v>North</v>
      </c>
      <c r="R350" t="str">
        <f t="shared" si="22"/>
        <v>April</v>
      </c>
      <c r="S350">
        <f t="shared" si="23"/>
        <v>4</v>
      </c>
      <c r="T350" t="str">
        <f>VLOOKUP(C350,Customers!$A:$B,2,0)</f>
        <v>Zomato Pvt Ltd</v>
      </c>
    </row>
    <row r="351" spans="1:20">
      <c r="A351" t="s">
        <v>438</v>
      </c>
      <c r="B351" s="1">
        <v>45410</v>
      </c>
      <c r="C351" t="s">
        <v>124</v>
      </c>
      <c r="D351" t="s">
        <v>89</v>
      </c>
      <c r="E351" t="s">
        <v>45</v>
      </c>
      <c r="F351">
        <v>3</v>
      </c>
      <c r="G351">
        <v>456000</v>
      </c>
      <c r="H351">
        <v>210000</v>
      </c>
      <c r="I351">
        <v>246000</v>
      </c>
      <c r="J351">
        <v>5</v>
      </c>
      <c r="K351" t="s">
        <v>18</v>
      </c>
      <c r="L351" t="s">
        <v>19</v>
      </c>
      <c r="M351" t="s">
        <v>20</v>
      </c>
      <c r="N351">
        <v>3</v>
      </c>
      <c r="O351">
        <f t="shared" si="20"/>
        <v>53.95</v>
      </c>
      <c r="P351">
        <f t="shared" si="21"/>
        <v>152000</v>
      </c>
      <c r="Q351" t="str">
        <f>VLOOKUP(C351,Customers!$A:$D,3,0)</f>
        <v>South</v>
      </c>
      <c r="R351" t="str">
        <f t="shared" si="22"/>
        <v>April</v>
      </c>
      <c r="S351">
        <f t="shared" si="23"/>
        <v>4</v>
      </c>
      <c r="T351" t="str">
        <f>VLOOKUP(C351,Customers!$A:$B,2,0)</f>
        <v>Zerodha Capital</v>
      </c>
    </row>
    <row r="352" spans="1:20">
      <c r="A352" t="s">
        <v>439</v>
      </c>
      <c r="B352" s="1">
        <v>45612</v>
      </c>
      <c r="C352" t="s">
        <v>56</v>
      </c>
      <c r="D352" t="s">
        <v>82</v>
      </c>
      <c r="E352" t="s">
        <v>54</v>
      </c>
      <c r="F352">
        <v>5</v>
      </c>
      <c r="G352">
        <v>725000</v>
      </c>
      <c r="H352">
        <v>300000</v>
      </c>
      <c r="I352">
        <v>425000</v>
      </c>
      <c r="J352">
        <v>0</v>
      </c>
      <c r="K352" t="s">
        <v>30</v>
      </c>
      <c r="L352" t="s">
        <v>51</v>
      </c>
      <c r="M352" t="s">
        <v>32</v>
      </c>
      <c r="N352">
        <v>12</v>
      </c>
      <c r="O352">
        <f t="shared" si="20"/>
        <v>58.62</v>
      </c>
      <c r="P352">
        <f t="shared" si="21"/>
        <v>145000</v>
      </c>
      <c r="Q352" t="str">
        <f>VLOOKUP(C352,Customers!$A:$D,3,0)</f>
        <v>South</v>
      </c>
      <c r="R352" t="str">
        <f t="shared" si="22"/>
        <v>November</v>
      </c>
      <c r="S352">
        <f t="shared" si="23"/>
        <v>11</v>
      </c>
      <c r="T352" t="str">
        <f>VLOOKUP(C352,Customers!$A:$B,2,0)</f>
        <v>Wipro Technologies</v>
      </c>
    </row>
    <row r="353" spans="1:20">
      <c r="A353" t="s">
        <v>440</v>
      </c>
      <c r="B353" s="1">
        <v>45425</v>
      </c>
      <c r="C353" t="s">
        <v>136</v>
      </c>
      <c r="D353" t="s">
        <v>154</v>
      </c>
      <c r="E353" t="s">
        <v>45</v>
      </c>
      <c r="F353">
        <v>3</v>
      </c>
      <c r="G353">
        <v>370500</v>
      </c>
      <c r="H353">
        <v>165000</v>
      </c>
      <c r="I353">
        <v>205500</v>
      </c>
      <c r="J353">
        <v>5</v>
      </c>
      <c r="K353" t="s">
        <v>30</v>
      </c>
      <c r="L353" t="s">
        <v>97</v>
      </c>
      <c r="M353" t="s">
        <v>32</v>
      </c>
      <c r="N353">
        <v>3</v>
      </c>
      <c r="O353">
        <f t="shared" si="20"/>
        <v>55.47</v>
      </c>
      <c r="P353">
        <f t="shared" si="21"/>
        <v>123500</v>
      </c>
      <c r="Q353" t="str">
        <f>VLOOKUP(C353,Customers!$A:$D,3,0)</f>
        <v>North</v>
      </c>
      <c r="R353" t="str">
        <f t="shared" si="22"/>
        <v>May</v>
      </c>
      <c r="S353">
        <f t="shared" si="23"/>
        <v>5</v>
      </c>
      <c r="T353" t="str">
        <f>VLOOKUP(C353,Customers!$A:$B,2,0)</f>
        <v>BharatPe</v>
      </c>
    </row>
    <row r="354" spans="1:20">
      <c r="A354" t="s">
        <v>441</v>
      </c>
      <c r="B354" s="1">
        <v>45636</v>
      </c>
      <c r="C354" t="s">
        <v>151</v>
      </c>
      <c r="D354" t="s">
        <v>61</v>
      </c>
      <c r="E354" t="s">
        <v>62</v>
      </c>
      <c r="F354">
        <v>1</v>
      </c>
      <c r="G354">
        <v>220000</v>
      </c>
      <c r="H354">
        <v>90000</v>
      </c>
      <c r="I354">
        <v>130000</v>
      </c>
      <c r="J354">
        <v>0</v>
      </c>
      <c r="K354" t="s">
        <v>30</v>
      </c>
      <c r="L354" t="s">
        <v>47</v>
      </c>
      <c r="M354" t="s">
        <v>37</v>
      </c>
      <c r="N354">
        <v>24</v>
      </c>
      <c r="O354">
        <f t="shared" si="20"/>
        <v>59.09</v>
      </c>
      <c r="P354">
        <f t="shared" si="21"/>
        <v>220000</v>
      </c>
      <c r="Q354" t="str">
        <f>VLOOKUP(C354,Customers!$A:$D,3,0)</f>
        <v>North</v>
      </c>
      <c r="R354" t="str">
        <f t="shared" si="22"/>
        <v>December</v>
      </c>
      <c r="S354">
        <f t="shared" si="23"/>
        <v>12</v>
      </c>
      <c r="T354" t="str">
        <f>VLOOKUP(C354,Customers!$A:$B,2,0)</f>
        <v>HCL Systems</v>
      </c>
    </row>
    <row r="355" spans="1:20">
      <c r="A355" t="s">
        <v>442</v>
      </c>
      <c r="B355" s="1">
        <v>45353</v>
      </c>
      <c r="C355" t="s">
        <v>34</v>
      </c>
      <c r="D355" t="s">
        <v>57</v>
      </c>
      <c r="E355" t="s">
        <v>17</v>
      </c>
      <c r="F355">
        <v>4</v>
      </c>
      <c r="G355">
        <v>228000</v>
      </c>
      <c r="H355">
        <v>100000</v>
      </c>
      <c r="I355">
        <v>128000</v>
      </c>
      <c r="J355">
        <v>5</v>
      </c>
      <c r="K355" t="s">
        <v>30</v>
      </c>
      <c r="L355" t="s">
        <v>97</v>
      </c>
      <c r="M355" t="s">
        <v>27</v>
      </c>
      <c r="N355">
        <v>3</v>
      </c>
      <c r="O355">
        <f t="shared" si="20"/>
        <v>56.14</v>
      </c>
      <c r="P355">
        <f t="shared" si="21"/>
        <v>57000</v>
      </c>
      <c r="Q355" t="str">
        <f>VLOOKUP(C355,Customers!$A:$D,3,0)</f>
        <v>North</v>
      </c>
      <c r="R355" t="str">
        <f t="shared" si="22"/>
        <v>March</v>
      </c>
      <c r="S355">
        <f t="shared" si="23"/>
        <v>3</v>
      </c>
      <c r="T355" t="str">
        <f>VLOOKUP(C355,Customers!$A:$B,2,0)</f>
        <v>Snapdeal Ltd</v>
      </c>
    </row>
    <row r="356" spans="1:20">
      <c r="A356" t="s">
        <v>443</v>
      </c>
      <c r="B356" s="1">
        <v>45372</v>
      </c>
      <c r="C356" t="s">
        <v>173</v>
      </c>
      <c r="D356" t="s">
        <v>67</v>
      </c>
      <c r="E356" t="s">
        <v>54</v>
      </c>
      <c r="F356">
        <v>1</v>
      </c>
      <c r="G356">
        <v>88000</v>
      </c>
      <c r="H356">
        <v>38000</v>
      </c>
      <c r="I356">
        <v>50000</v>
      </c>
      <c r="J356">
        <v>0</v>
      </c>
      <c r="K356" t="s">
        <v>30</v>
      </c>
      <c r="L356" t="s">
        <v>51</v>
      </c>
      <c r="M356" t="s">
        <v>27</v>
      </c>
      <c r="N356">
        <v>6</v>
      </c>
      <c r="O356">
        <f t="shared" si="20"/>
        <v>56.82</v>
      </c>
      <c r="P356">
        <f t="shared" si="21"/>
        <v>88000</v>
      </c>
      <c r="Q356" t="str">
        <f>VLOOKUP(C356,Customers!$A:$D,3,0)</f>
        <v>South</v>
      </c>
      <c r="R356" t="str">
        <f t="shared" si="22"/>
        <v>March</v>
      </c>
      <c r="S356">
        <f t="shared" si="23"/>
        <v>3</v>
      </c>
      <c r="T356" t="str">
        <f>VLOOKUP(C356,Customers!$A:$B,2,0)</f>
        <v>Byju's Learning</v>
      </c>
    </row>
    <row r="357" spans="1:20">
      <c r="A357" t="s">
        <v>444</v>
      </c>
      <c r="B357" s="1">
        <v>45474</v>
      </c>
      <c r="C357" t="s">
        <v>99</v>
      </c>
      <c r="D357" t="s">
        <v>119</v>
      </c>
      <c r="E357" t="s">
        <v>36</v>
      </c>
      <c r="F357">
        <v>3</v>
      </c>
      <c r="G357">
        <v>240000</v>
      </c>
      <c r="H357">
        <v>135000</v>
      </c>
      <c r="I357">
        <v>105000</v>
      </c>
      <c r="J357">
        <v>20</v>
      </c>
      <c r="K357" t="s">
        <v>30</v>
      </c>
      <c r="L357" t="s">
        <v>31</v>
      </c>
      <c r="M357" t="s">
        <v>59</v>
      </c>
      <c r="N357">
        <v>24</v>
      </c>
      <c r="O357">
        <f t="shared" si="20"/>
        <v>43.75</v>
      </c>
      <c r="P357">
        <f t="shared" si="21"/>
        <v>80000</v>
      </c>
      <c r="Q357" t="str">
        <f>VLOOKUP(C357,Customers!$A:$D,3,0)</f>
        <v>West</v>
      </c>
      <c r="R357" t="str">
        <f t="shared" si="22"/>
        <v>July</v>
      </c>
      <c r="S357">
        <f t="shared" si="23"/>
        <v>7</v>
      </c>
      <c r="T357" t="str">
        <f>VLOOKUP(C357,Customers!$A:$B,2,0)</f>
        <v>Tata Consultancy</v>
      </c>
    </row>
    <row r="358" spans="1:20">
      <c r="A358" t="s">
        <v>445</v>
      </c>
      <c r="B358" s="1">
        <v>45576</v>
      </c>
      <c r="C358" t="s">
        <v>65</v>
      </c>
      <c r="D358" t="s">
        <v>69</v>
      </c>
      <c r="E358" t="s">
        <v>62</v>
      </c>
      <c r="F358">
        <v>4</v>
      </c>
      <c r="G358">
        <v>380000</v>
      </c>
      <c r="H358">
        <v>160000</v>
      </c>
      <c r="I358">
        <v>220000</v>
      </c>
      <c r="J358">
        <v>0</v>
      </c>
      <c r="K358" t="s">
        <v>30</v>
      </c>
      <c r="L358" t="s">
        <v>19</v>
      </c>
      <c r="M358" t="s">
        <v>27</v>
      </c>
      <c r="N358">
        <v>3</v>
      </c>
      <c r="O358">
        <f t="shared" si="20"/>
        <v>57.89</v>
      </c>
      <c r="P358">
        <f t="shared" si="21"/>
        <v>95000</v>
      </c>
      <c r="Q358" t="str">
        <f>VLOOKUP(C358,Customers!$A:$D,3,0)</f>
        <v>North</v>
      </c>
      <c r="R358" t="str">
        <f t="shared" si="22"/>
        <v>October</v>
      </c>
      <c r="S358">
        <f t="shared" si="23"/>
        <v>10</v>
      </c>
      <c r="T358" t="str">
        <f>VLOOKUP(C358,Customers!$A:$B,2,0)</f>
        <v>Zomato Pvt Ltd</v>
      </c>
    </row>
    <row r="359" spans="1:20">
      <c r="A359" t="s">
        <v>446</v>
      </c>
      <c r="B359" s="1">
        <v>45613</v>
      </c>
      <c r="C359" t="s">
        <v>115</v>
      </c>
      <c r="D359" t="s">
        <v>23</v>
      </c>
      <c r="E359" t="s">
        <v>24</v>
      </c>
      <c r="F359">
        <v>5</v>
      </c>
      <c r="G359">
        <v>540000</v>
      </c>
      <c r="H359">
        <v>250000</v>
      </c>
      <c r="I359">
        <v>290000</v>
      </c>
      <c r="J359">
        <v>10</v>
      </c>
      <c r="K359" t="s">
        <v>30</v>
      </c>
      <c r="L359" t="s">
        <v>19</v>
      </c>
      <c r="M359" t="s">
        <v>27</v>
      </c>
      <c r="N359">
        <v>3</v>
      </c>
      <c r="O359">
        <f t="shared" si="20"/>
        <v>53.7</v>
      </c>
      <c r="P359">
        <f t="shared" si="21"/>
        <v>108000</v>
      </c>
      <c r="Q359" t="str">
        <f>VLOOKUP(C359,Customers!$A:$D,3,0)</f>
        <v>North</v>
      </c>
      <c r="R359" t="str">
        <f t="shared" si="22"/>
        <v>November</v>
      </c>
      <c r="S359">
        <f t="shared" si="23"/>
        <v>11</v>
      </c>
      <c r="T359" t="str">
        <f>VLOOKUP(C359,Customers!$A:$B,2,0)</f>
        <v>Paytm Services</v>
      </c>
    </row>
    <row r="360" spans="1:20">
      <c r="A360" t="s">
        <v>447</v>
      </c>
      <c r="B360" s="1">
        <v>45393</v>
      </c>
      <c r="C360" t="s">
        <v>79</v>
      </c>
      <c r="D360" t="s">
        <v>61</v>
      </c>
      <c r="E360" t="s">
        <v>62</v>
      </c>
      <c r="F360">
        <v>1</v>
      </c>
      <c r="G360">
        <v>176000</v>
      </c>
      <c r="H360">
        <v>90000</v>
      </c>
      <c r="I360">
        <v>86000</v>
      </c>
      <c r="J360">
        <v>20</v>
      </c>
      <c r="K360" t="s">
        <v>30</v>
      </c>
      <c r="L360" t="s">
        <v>19</v>
      </c>
      <c r="M360" t="s">
        <v>27</v>
      </c>
      <c r="N360">
        <v>24</v>
      </c>
      <c r="O360">
        <f t="shared" si="20"/>
        <v>48.86</v>
      </c>
      <c r="P360">
        <f t="shared" si="21"/>
        <v>176000</v>
      </c>
      <c r="Q360" t="str">
        <f>VLOOKUP(C360,Customers!$A:$D,3,0)</f>
        <v>West</v>
      </c>
      <c r="R360" t="str">
        <f t="shared" si="22"/>
        <v>April</v>
      </c>
      <c r="S360">
        <f t="shared" si="23"/>
        <v>4</v>
      </c>
      <c r="T360" t="str">
        <f>VLOOKUP(C360,Customers!$A:$B,2,0)</f>
        <v>Dream11 Sports</v>
      </c>
    </row>
    <row r="361" spans="1:20">
      <c r="A361" t="s">
        <v>448</v>
      </c>
      <c r="B361" s="1">
        <v>45635</v>
      </c>
      <c r="C361" t="s">
        <v>29</v>
      </c>
      <c r="D361" t="s">
        <v>154</v>
      </c>
      <c r="E361" t="s">
        <v>45</v>
      </c>
      <c r="F361">
        <v>4</v>
      </c>
      <c r="G361">
        <v>520000</v>
      </c>
      <c r="H361">
        <v>220000</v>
      </c>
      <c r="I361">
        <v>300000</v>
      </c>
      <c r="J361">
        <v>0</v>
      </c>
      <c r="K361" t="s">
        <v>30</v>
      </c>
      <c r="L361" t="s">
        <v>95</v>
      </c>
      <c r="M361" t="s">
        <v>32</v>
      </c>
      <c r="N361">
        <v>12</v>
      </c>
      <c r="O361">
        <f t="shared" si="20"/>
        <v>57.69</v>
      </c>
      <c r="P361">
        <f t="shared" si="21"/>
        <v>130000</v>
      </c>
      <c r="Q361" t="str">
        <f>VLOOKUP(C361,Customers!$A:$D,3,0)</f>
        <v>South</v>
      </c>
      <c r="R361" t="str">
        <f t="shared" si="22"/>
        <v>December</v>
      </c>
      <c r="S361">
        <f t="shared" si="23"/>
        <v>12</v>
      </c>
      <c r="T361" t="str">
        <f>VLOOKUP(C361,Customers!$A:$B,2,0)</f>
        <v>Meesho Network</v>
      </c>
    </row>
    <row r="362" spans="1:20">
      <c r="A362" t="s">
        <v>449</v>
      </c>
      <c r="B362" s="1">
        <v>45401</v>
      </c>
      <c r="C362" t="s">
        <v>15</v>
      </c>
      <c r="D362" t="s">
        <v>50</v>
      </c>
      <c r="E362" t="s">
        <v>17</v>
      </c>
      <c r="F362">
        <v>4</v>
      </c>
      <c r="G362">
        <v>200000</v>
      </c>
      <c r="H362">
        <v>80000</v>
      </c>
      <c r="I362">
        <v>120000</v>
      </c>
      <c r="J362">
        <v>0</v>
      </c>
      <c r="K362" t="s">
        <v>30</v>
      </c>
      <c r="L362" t="s">
        <v>26</v>
      </c>
      <c r="M362" t="s">
        <v>20</v>
      </c>
      <c r="N362">
        <v>6</v>
      </c>
      <c r="O362">
        <f t="shared" si="20"/>
        <v>60</v>
      </c>
      <c r="P362">
        <f t="shared" si="21"/>
        <v>50000</v>
      </c>
      <c r="Q362" t="str">
        <f>VLOOKUP(C362,Customers!$A:$D,3,0)</f>
        <v>South</v>
      </c>
      <c r="R362" t="str">
        <f t="shared" si="22"/>
        <v>April</v>
      </c>
      <c r="S362">
        <f t="shared" si="23"/>
        <v>4</v>
      </c>
      <c r="T362" t="str">
        <f>VLOOKUP(C362,Customers!$A:$B,2,0)</f>
        <v>Swiggy Inc</v>
      </c>
    </row>
    <row r="363" spans="1:20">
      <c r="A363" t="s">
        <v>450</v>
      </c>
      <c r="B363" s="1">
        <v>45614</v>
      </c>
      <c r="C363" t="s">
        <v>94</v>
      </c>
      <c r="D363" t="s">
        <v>53</v>
      </c>
      <c r="E363" t="s">
        <v>54</v>
      </c>
      <c r="F363">
        <v>4</v>
      </c>
      <c r="G363">
        <v>800000</v>
      </c>
      <c r="H363">
        <v>340000</v>
      </c>
      <c r="I363">
        <v>460000</v>
      </c>
      <c r="J363">
        <v>0</v>
      </c>
      <c r="K363" t="s">
        <v>30</v>
      </c>
      <c r="L363" t="s">
        <v>97</v>
      </c>
      <c r="M363" t="s">
        <v>59</v>
      </c>
      <c r="N363">
        <v>6</v>
      </c>
      <c r="O363">
        <f t="shared" si="20"/>
        <v>57.5</v>
      </c>
      <c r="P363">
        <f t="shared" si="21"/>
        <v>200000</v>
      </c>
      <c r="Q363" t="str">
        <f>VLOOKUP(C363,Customers!$A:$D,3,0)</f>
        <v>South</v>
      </c>
      <c r="R363" t="str">
        <f t="shared" si="22"/>
        <v>November</v>
      </c>
      <c r="S363">
        <f t="shared" si="23"/>
        <v>11</v>
      </c>
      <c r="T363" t="str">
        <f>VLOOKUP(C363,Customers!$A:$B,2,0)</f>
        <v>PhonePe Pay</v>
      </c>
    </row>
    <row r="364" spans="1:20">
      <c r="A364" t="s">
        <v>451</v>
      </c>
      <c r="B364" s="1">
        <v>45629</v>
      </c>
      <c r="C364" t="s">
        <v>65</v>
      </c>
      <c r="D364" t="s">
        <v>53</v>
      </c>
      <c r="E364" t="s">
        <v>54</v>
      </c>
      <c r="F364">
        <v>1</v>
      </c>
      <c r="G364">
        <v>190000</v>
      </c>
      <c r="H364">
        <v>85000</v>
      </c>
      <c r="I364">
        <v>105000</v>
      </c>
      <c r="J364">
        <v>5</v>
      </c>
      <c r="K364" t="s">
        <v>18</v>
      </c>
      <c r="L364" t="s">
        <v>70</v>
      </c>
      <c r="M364" t="s">
        <v>59</v>
      </c>
      <c r="N364">
        <v>24</v>
      </c>
      <c r="O364">
        <f t="shared" si="20"/>
        <v>55.26</v>
      </c>
      <c r="P364">
        <f t="shared" si="21"/>
        <v>190000</v>
      </c>
      <c r="Q364" t="str">
        <f>VLOOKUP(C364,Customers!$A:$D,3,0)</f>
        <v>North</v>
      </c>
      <c r="R364" t="str">
        <f t="shared" si="22"/>
        <v>December</v>
      </c>
      <c r="S364">
        <f t="shared" si="23"/>
        <v>12</v>
      </c>
      <c r="T364" t="str">
        <f>VLOOKUP(C364,Customers!$A:$B,2,0)</f>
        <v>Zomato Pvt Ltd</v>
      </c>
    </row>
    <row r="365" spans="1:20">
      <c r="A365" t="s">
        <v>452</v>
      </c>
      <c r="B365" s="1">
        <v>45468</v>
      </c>
      <c r="C365" t="s">
        <v>124</v>
      </c>
      <c r="D365" t="s">
        <v>35</v>
      </c>
      <c r="E365" t="s">
        <v>36</v>
      </c>
      <c r="F365">
        <v>4</v>
      </c>
      <c r="G365">
        <v>247000</v>
      </c>
      <c r="H365">
        <v>112000</v>
      </c>
      <c r="I365">
        <v>135000</v>
      </c>
      <c r="J365">
        <v>5</v>
      </c>
      <c r="K365" t="s">
        <v>30</v>
      </c>
      <c r="L365" t="s">
        <v>31</v>
      </c>
      <c r="M365" t="s">
        <v>37</v>
      </c>
      <c r="N365">
        <v>6</v>
      </c>
      <c r="O365">
        <f t="shared" si="20"/>
        <v>54.66</v>
      </c>
      <c r="P365">
        <f t="shared" si="21"/>
        <v>61750</v>
      </c>
      <c r="Q365" t="str">
        <f>VLOOKUP(C365,Customers!$A:$D,3,0)</f>
        <v>South</v>
      </c>
      <c r="R365" t="str">
        <f t="shared" si="22"/>
        <v>June</v>
      </c>
      <c r="S365">
        <f t="shared" si="23"/>
        <v>6</v>
      </c>
      <c r="T365" t="str">
        <f>VLOOKUP(C365,Customers!$A:$B,2,0)</f>
        <v>Zerodha Capital</v>
      </c>
    </row>
    <row r="366" spans="1:20">
      <c r="A366" t="s">
        <v>453</v>
      </c>
      <c r="B366" s="1">
        <v>45307</v>
      </c>
      <c r="C366" t="s">
        <v>34</v>
      </c>
      <c r="D366" t="s">
        <v>50</v>
      </c>
      <c r="E366" t="s">
        <v>17</v>
      </c>
      <c r="F366">
        <v>1</v>
      </c>
      <c r="G366">
        <v>40000</v>
      </c>
      <c r="H366">
        <v>20000</v>
      </c>
      <c r="I366">
        <v>20000</v>
      </c>
      <c r="J366">
        <v>20</v>
      </c>
      <c r="K366" t="s">
        <v>30</v>
      </c>
      <c r="L366" t="s">
        <v>63</v>
      </c>
      <c r="M366" t="s">
        <v>37</v>
      </c>
      <c r="N366">
        <v>6</v>
      </c>
      <c r="O366">
        <f t="shared" si="20"/>
        <v>50</v>
      </c>
      <c r="P366">
        <f t="shared" si="21"/>
        <v>40000</v>
      </c>
      <c r="Q366" t="str">
        <f>VLOOKUP(C366,Customers!$A:$D,3,0)</f>
        <v>North</v>
      </c>
      <c r="R366" t="str">
        <f t="shared" si="22"/>
        <v>January</v>
      </c>
      <c r="S366">
        <f t="shared" si="23"/>
        <v>1</v>
      </c>
      <c r="T366" t="str">
        <f>VLOOKUP(C366,Customers!$A:$B,2,0)</f>
        <v>Snapdeal Ltd</v>
      </c>
    </row>
    <row r="367" spans="1:20">
      <c r="A367" t="s">
        <v>454</v>
      </c>
      <c r="B367" s="1">
        <v>45646</v>
      </c>
      <c r="C367" t="s">
        <v>65</v>
      </c>
      <c r="D367" t="s">
        <v>50</v>
      </c>
      <c r="E367" t="s">
        <v>17</v>
      </c>
      <c r="F367">
        <v>5</v>
      </c>
      <c r="G367">
        <v>200000</v>
      </c>
      <c r="H367">
        <v>100000</v>
      </c>
      <c r="I367">
        <v>100000</v>
      </c>
      <c r="J367">
        <v>20</v>
      </c>
      <c r="K367" t="s">
        <v>18</v>
      </c>
      <c r="L367" t="s">
        <v>31</v>
      </c>
      <c r="M367" t="s">
        <v>32</v>
      </c>
      <c r="N367">
        <v>24</v>
      </c>
      <c r="O367">
        <f t="shared" si="20"/>
        <v>50</v>
      </c>
      <c r="P367">
        <f t="shared" si="21"/>
        <v>40000</v>
      </c>
      <c r="Q367" t="str">
        <f>VLOOKUP(C367,Customers!$A:$D,3,0)</f>
        <v>North</v>
      </c>
      <c r="R367" t="str">
        <f t="shared" si="22"/>
        <v>December</v>
      </c>
      <c r="S367">
        <f t="shared" si="23"/>
        <v>12</v>
      </c>
      <c r="T367" t="str">
        <f>VLOOKUP(C367,Customers!$A:$B,2,0)</f>
        <v>Zomato Pvt Ltd</v>
      </c>
    </row>
    <row r="368" spans="1:20">
      <c r="A368" t="s">
        <v>455</v>
      </c>
      <c r="B368" s="1">
        <v>45473</v>
      </c>
      <c r="C368" t="s">
        <v>43</v>
      </c>
      <c r="D368" t="s">
        <v>101</v>
      </c>
      <c r="E368" t="s">
        <v>62</v>
      </c>
      <c r="F368">
        <v>2</v>
      </c>
      <c r="G368">
        <v>160000</v>
      </c>
      <c r="H368">
        <v>70000</v>
      </c>
      <c r="I368">
        <v>90000</v>
      </c>
      <c r="J368">
        <v>0</v>
      </c>
      <c r="K368" t="s">
        <v>25</v>
      </c>
      <c r="L368" t="s">
        <v>70</v>
      </c>
      <c r="M368" t="s">
        <v>37</v>
      </c>
      <c r="N368">
        <v>3</v>
      </c>
      <c r="O368">
        <f t="shared" si="20"/>
        <v>56.25</v>
      </c>
      <c r="P368">
        <f t="shared" si="21"/>
        <v>80000</v>
      </c>
      <c r="Q368" t="str">
        <f>VLOOKUP(C368,Customers!$A:$D,3,0)</f>
        <v>South</v>
      </c>
      <c r="R368" t="str">
        <f t="shared" si="22"/>
        <v>June</v>
      </c>
      <c r="S368">
        <f t="shared" si="23"/>
        <v>6</v>
      </c>
      <c r="T368" t="str">
        <f>VLOOKUP(C368,Customers!$A:$B,2,0)</f>
        <v>Groww Invest</v>
      </c>
    </row>
    <row r="369" spans="1:20">
      <c r="A369" t="s">
        <v>456</v>
      </c>
      <c r="B369" s="1">
        <v>45652</v>
      </c>
      <c r="C369" t="s">
        <v>106</v>
      </c>
      <c r="D369" t="s">
        <v>82</v>
      </c>
      <c r="E369" t="s">
        <v>54</v>
      </c>
      <c r="F369">
        <v>2</v>
      </c>
      <c r="G369">
        <v>261000</v>
      </c>
      <c r="H369">
        <v>120000</v>
      </c>
      <c r="I369">
        <v>141000</v>
      </c>
      <c r="J369">
        <v>10</v>
      </c>
      <c r="K369" t="s">
        <v>30</v>
      </c>
      <c r="L369" t="s">
        <v>47</v>
      </c>
      <c r="M369" t="s">
        <v>20</v>
      </c>
      <c r="N369">
        <v>12</v>
      </c>
      <c r="O369">
        <f t="shared" si="20"/>
        <v>54.02</v>
      </c>
      <c r="P369">
        <f t="shared" si="21"/>
        <v>130500</v>
      </c>
      <c r="Q369" t="str">
        <f>VLOOKUP(C369,Customers!$A:$D,3,0)</f>
        <v>North</v>
      </c>
      <c r="R369" t="str">
        <f t="shared" si="22"/>
        <v>December</v>
      </c>
      <c r="S369">
        <f t="shared" si="23"/>
        <v>12</v>
      </c>
      <c r="T369" t="str">
        <f>VLOOKUP(C369,Customers!$A:$B,2,0)</f>
        <v>Urban Company</v>
      </c>
    </row>
    <row r="370" spans="1:20">
      <c r="A370" t="s">
        <v>457</v>
      </c>
      <c r="B370" s="1">
        <v>45381</v>
      </c>
      <c r="C370" t="s">
        <v>56</v>
      </c>
      <c r="D370" t="s">
        <v>86</v>
      </c>
      <c r="E370" t="s">
        <v>24</v>
      </c>
      <c r="F370">
        <v>2</v>
      </c>
      <c r="G370">
        <v>252000</v>
      </c>
      <c r="H370">
        <v>120000</v>
      </c>
      <c r="I370">
        <v>132000</v>
      </c>
      <c r="J370">
        <v>10</v>
      </c>
      <c r="K370" t="s">
        <v>30</v>
      </c>
      <c r="L370" t="s">
        <v>31</v>
      </c>
      <c r="M370" t="s">
        <v>20</v>
      </c>
      <c r="N370">
        <v>24</v>
      </c>
      <c r="O370">
        <f t="shared" si="20"/>
        <v>52.38</v>
      </c>
      <c r="P370">
        <f t="shared" si="21"/>
        <v>126000</v>
      </c>
      <c r="Q370" t="str">
        <f>VLOOKUP(C370,Customers!$A:$D,3,0)</f>
        <v>South</v>
      </c>
      <c r="R370" t="str">
        <f t="shared" si="22"/>
        <v>March</v>
      </c>
      <c r="S370">
        <f t="shared" si="23"/>
        <v>3</v>
      </c>
      <c r="T370" t="str">
        <f>VLOOKUP(C370,Customers!$A:$B,2,0)</f>
        <v>Wipro Technologies</v>
      </c>
    </row>
    <row r="371" spans="1:20">
      <c r="A371" t="s">
        <v>458</v>
      </c>
      <c r="B371" s="1">
        <v>45292</v>
      </c>
      <c r="C371" t="s">
        <v>131</v>
      </c>
      <c r="D371" t="s">
        <v>57</v>
      </c>
      <c r="E371" t="s">
        <v>17</v>
      </c>
      <c r="F371">
        <v>2</v>
      </c>
      <c r="G371">
        <v>114000</v>
      </c>
      <c r="H371">
        <v>50000</v>
      </c>
      <c r="I371">
        <v>64000</v>
      </c>
      <c r="J371">
        <v>5</v>
      </c>
      <c r="K371" t="s">
        <v>18</v>
      </c>
      <c r="L371" t="s">
        <v>51</v>
      </c>
      <c r="M371" t="s">
        <v>37</v>
      </c>
      <c r="N371">
        <v>3</v>
      </c>
      <c r="O371">
        <f t="shared" si="20"/>
        <v>56.14</v>
      </c>
      <c r="P371">
        <f t="shared" si="21"/>
        <v>57000</v>
      </c>
      <c r="Q371" t="str">
        <f>VLOOKUP(C371,Customers!$A:$D,3,0)</f>
        <v>North</v>
      </c>
      <c r="R371" t="str">
        <f t="shared" si="22"/>
        <v>January</v>
      </c>
      <c r="S371">
        <f t="shared" si="23"/>
        <v>1</v>
      </c>
      <c r="T371" t="str">
        <f>VLOOKUP(C371,Customers!$A:$B,2,0)</f>
        <v>Lenskart Vision</v>
      </c>
    </row>
    <row r="372" spans="1:20">
      <c r="A372" t="s">
        <v>459</v>
      </c>
      <c r="B372" s="1">
        <v>45652</v>
      </c>
      <c r="C372" t="s">
        <v>136</v>
      </c>
      <c r="D372" t="s">
        <v>61</v>
      </c>
      <c r="E372" t="s">
        <v>62</v>
      </c>
      <c r="F372">
        <v>1</v>
      </c>
      <c r="G372">
        <v>176000</v>
      </c>
      <c r="H372">
        <v>90000</v>
      </c>
      <c r="I372">
        <v>86000</v>
      </c>
      <c r="J372">
        <v>20</v>
      </c>
      <c r="K372" t="s">
        <v>25</v>
      </c>
      <c r="L372" t="s">
        <v>70</v>
      </c>
      <c r="M372" t="s">
        <v>27</v>
      </c>
      <c r="N372">
        <v>12</v>
      </c>
      <c r="O372">
        <f t="shared" si="20"/>
        <v>48.86</v>
      </c>
      <c r="P372">
        <f t="shared" si="21"/>
        <v>176000</v>
      </c>
      <c r="Q372" t="str">
        <f>VLOOKUP(C372,Customers!$A:$D,3,0)</f>
        <v>North</v>
      </c>
      <c r="R372" t="str">
        <f t="shared" si="22"/>
        <v>December</v>
      </c>
      <c r="S372">
        <f t="shared" si="23"/>
        <v>12</v>
      </c>
      <c r="T372" t="str">
        <f>VLOOKUP(C372,Customers!$A:$B,2,0)</f>
        <v>BharatPe</v>
      </c>
    </row>
    <row r="373" spans="1:20">
      <c r="A373" t="s">
        <v>460</v>
      </c>
      <c r="B373" s="1">
        <v>45652</v>
      </c>
      <c r="C373" t="s">
        <v>143</v>
      </c>
      <c r="D373" t="s">
        <v>82</v>
      </c>
      <c r="E373" t="s">
        <v>54</v>
      </c>
      <c r="F373">
        <v>1</v>
      </c>
      <c r="G373">
        <v>137750</v>
      </c>
      <c r="H373">
        <v>60000</v>
      </c>
      <c r="I373">
        <v>77750</v>
      </c>
      <c r="J373">
        <v>5</v>
      </c>
      <c r="K373" t="s">
        <v>30</v>
      </c>
      <c r="L373" t="s">
        <v>70</v>
      </c>
      <c r="M373" t="s">
        <v>32</v>
      </c>
      <c r="N373">
        <v>6</v>
      </c>
      <c r="O373">
        <f t="shared" si="20"/>
        <v>56.44</v>
      </c>
      <c r="P373">
        <f t="shared" si="21"/>
        <v>137750</v>
      </c>
      <c r="Q373" t="str">
        <f>VLOOKUP(C373,Customers!$A:$D,3,0)</f>
        <v>North</v>
      </c>
      <c r="R373" t="str">
        <f t="shared" si="22"/>
        <v>December</v>
      </c>
      <c r="S373">
        <f t="shared" si="23"/>
        <v>12</v>
      </c>
      <c r="T373" t="str">
        <f>VLOOKUP(C373,Customers!$A:$B,2,0)</f>
        <v>Nykaa Fashion</v>
      </c>
    </row>
    <row r="374" spans="1:20">
      <c r="A374" t="s">
        <v>461</v>
      </c>
      <c r="B374" s="1">
        <v>45515</v>
      </c>
      <c r="C374" t="s">
        <v>133</v>
      </c>
      <c r="D374" t="s">
        <v>35</v>
      </c>
      <c r="E374" t="s">
        <v>36</v>
      </c>
      <c r="F374">
        <v>2</v>
      </c>
      <c r="G374">
        <v>110500</v>
      </c>
      <c r="H374">
        <v>56000</v>
      </c>
      <c r="I374">
        <v>54500</v>
      </c>
      <c r="J374">
        <v>15</v>
      </c>
      <c r="K374" t="s">
        <v>25</v>
      </c>
      <c r="L374" t="s">
        <v>26</v>
      </c>
      <c r="M374" t="s">
        <v>37</v>
      </c>
      <c r="N374">
        <v>6</v>
      </c>
      <c r="O374">
        <f t="shared" si="20"/>
        <v>49.32</v>
      </c>
      <c r="P374">
        <f t="shared" si="21"/>
        <v>55250</v>
      </c>
      <c r="Q374" t="str">
        <f>VLOOKUP(C374,Customers!$A:$D,3,0)</f>
        <v>South</v>
      </c>
      <c r="R374" t="str">
        <f t="shared" si="22"/>
        <v>August</v>
      </c>
      <c r="S374">
        <f t="shared" si="23"/>
        <v>8</v>
      </c>
      <c r="T374" t="str">
        <f>VLOOKUP(C374,Customers!$A:$B,2,0)</f>
        <v>Razorpay Tech</v>
      </c>
    </row>
    <row r="375" spans="1:20">
      <c r="A375" t="s">
        <v>462</v>
      </c>
      <c r="B375" s="1">
        <v>45632</v>
      </c>
      <c r="C375" t="s">
        <v>122</v>
      </c>
      <c r="D375" t="s">
        <v>154</v>
      </c>
      <c r="E375" t="s">
        <v>45</v>
      </c>
      <c r="F375">
        <v>3</v>
      </c>
      <c r="G375">
        <v>331500</v>
      </c>
      <c r="H375">
        <v>165000</v>
      </c>
      <c r="I375">
        <v>166500</v>
      </c>
      <c r="J375">
        <v>15</v>
      </c>
      <c r="K375" t="s">
        <v>18</v>
      </c>
      <c r="L375" t="s">
        <v>97</v>
      </c>
      <c r="M375" t="s">
        <v>32</v>
      </c>
      <c r="N375">
        <v>6</v>
      </c>
      <c r="O375">
        <f t="shared" si="20"/>
        <v>50.23</v>
      </c>
      <c r="P375">
        <f t="shared" si="21"/>
        <v>110500</v>
      </c>
      <c r="Q375" t="str">
        <f>VLOOKUP(C375,Customers!$A:$D,3,0)</f>
        <v>West</v>
      </c>
      <c r="R375" t="str">
        <f t="shared" si="22"/>
        <v>December</v>
      </c>
      <c r="S375">
        <f t="shared" si="23"/>
        <v>12</v>
      </c>
      <c r="T375" t="str">
        <f>VLOOKUP(C375,Customers!$A:$B,2,0)</f>
        <v>HDFC Bank</v>
      </c>
    </row>
    <row r="376" spans="1:20">
      <c r="A376" t="s">
        <v>463</v>
      </c>
      <c r="B376" s="1">
        <v>45292</v>
      </c>
      <c r="C376" t="s">
        <v>106</v>
      </c>
      <c r="D376" t="s">
        <v>154</v>
      </c>
      <c r="E376" t="s">
        <v>45</v>
      </c>
      <c r="F376">
        <v>5</v>
      </c>
      <c r="G376">
        <v>650000</v>
      </c>
      <c r="H376">
        <v>275000</v>
      </c>
      <c r="I376">
        <v>375000</v>
      </c>
      <c r="J376">
        <v>0</v>
      </c>
      <c r="K376" t="s">
        <v>30</v>
      </c>
      <c r="L376" t="s">
        <v>26</v>
      </c>
      <c r="M376" t="s">
        <v>37</v>
      </c>
      <c r="N376">
        <v>6</v>
      </c>
      <c r="O376">
        <f t="shared" si="20"/>
        <v>57.69</v>
      </c>
      <c r="P376">
        <f t="shared" si="21"/>
        <v>130000</v>
      </c>
      <c r="Q376" t="str">
        <f>VLOOKUP(C376,Customers!$A:$D,3,0)</f>
        <v>North</v>
      </c>
      <c r="R376" t="str">
        <f t="shared" si="22"/>
        <v>January</v>
      </c>
      <c r="S376">
        <f t="shared" si="23"/>
        <v>1</v>
      </c>
      <c r="T376" t="str">
        <f>VLOOKUP(C376,Customers!$A:$B,2,0)</f>
        <v>Urban Company</v>
      </c>
    </row>
    <row r="377" spans="1:20">
      <c r="A377" t="s">
        <v>464</v>
      </c>
      <c r="B377" s="1">
        <v>45619</v>
      </c>
      <c r="C377" t="s">
        <v>136</v>
      </c>
      <c r="D377" t="s">
        <v>76</v>
      </c>
      <c r="E377" t="s">
        <v>41</v>
      </c>
      <c r="F377">
        <v>2</v>
      </c>
      <c r="G377">
        <v>79800</v>
      </c>
      <c r="H377">
        <v>36000</v>
      </c>
      <c r="I377">
        <v>43800</v>
      </c>
      <c r="J377">
        <v>5</v>
      </c>
      <c r="K377" t="s">
        <v>18</v>
      </c>
      <c r="L377" t="s">
        <v>19</v>
      </c>
      <c r="M377" t="s">
        <v>32</v>
      </c>
      <c r="N377">
        <v>12</v>
      </c>
      <c r="O377">
        <f t="shared" si="20"/>
        <v>54.89</v>
      </c>
      <c r="P377">
        <f t="shared" si="21"/>
        <v>39900</v>
      </c>
      <c r="Q377" t="str">
        <f>VLOOKUP(C377,Customers!$A:$D,3,0)</f>
        <v>North</v>
      </c>
      <c r="R377" t="str">
        <f t="shared" si="22"/>
        <v>November</v>
      </c>
      <c r="S377">
        <f t="shared" si="23"/>
        <v>11</v>
      </c>
      <c r="T377" t="str">
        <f>VLOOKUP(C377,Customers!$A:$B,2,0)</f>
        <v>BharatPe</v>
      </c>
    </row>
    <row r="378" spans="1:20">
      <c r="A378" t="s">
        <v>465</v>
      </c>
      <c r="B378" s="1">
        <v>45573</v>
      </c>
      <c r="C378" t="s">
        <v>139</v>
      </c>
      <c r="D378" t="s">
        <v>35</v>
      </c>
      <c r="E378" t="s">
        <v>36</v>
      </c>
      <c r="F378">
        <v>4</v>
      </c>
      <c r="G378">
        <v>260000</v>
      </c>
      <c r="H378">
        <v>112000</v>
      </c>
      <c r="I378">
        <v>148000</v>
      </c>
      <c r="J378">
        <v>0</v>
      </c>
      <c r="K378" t="s">
        <v>30</v>
      </c>
      <c r="L378" t="s">
        <v>58</v>
      </c>
      <c r="M378" t="s">
        <v>32</v>
      </c>
      <c r="N378">
        <v>3</v>
      </c>
      <c r="O378">
        <f t="shared" si="20"/>
        <v>56.92</v>
      </c>
      <c r="P378">
        <f t="shared" si="21"/>
        <v>65000</v>
      </c>
      <c r="Q378" t="str">
        <f>VLOOKUP(C378,Customers!$A:$D,3,0)</f>
        <v>North</v>
      </c>
      <c r="R378" t="str">
        <f t="shared" si="22"/>
        <v>October</v>
      </c>
      <c r="S378">
        <f t="shared" si="23"/>
        <v>10</v>
      </c>
      <c r="T378" t="str">
        <f>VLOOKUP(C378,Customers!$A:$B,2,0)</f>
        <v>PolicyBazaar</v>
      </c>
    </row>
    <row r="379" spans="1:20">
      <c r="A379" t="s">
        <v>466</v>
      </c>
      <c r="B379" s="1">
        <v>45575</v>
      </c>
      <c r="C379" t="s">
        <v>39</v>
      </c>
      <c r="D379" t="s">
        <v>92</v>
      </c>
      <c r="E379" t="s">
        <v>24</v>
      </c>
      <c r="F379">
        <v>1</v>
      </c>
      <c r="G379">
        <v>171000</v>
      </c>
      <c r="H379">
        <v>80000</v>
      </c>
      <c r="I379">
        <v>91000</v>
      </c>
      <c r="J379">
        <v>5</v>
      </c>
      <c r="K379" t="s">
        <v>30</v>
      </c>
      <c r="L379" t="s">
        <v>95</v>
      </c>
      <c r="M379" t="s">
        <v>32</v>
      </c>
      <c r="N379">
        <v>24</v>
      </c>
      <c r="O379">
        <f t="shared" si="20"/>
        <v>53.22</v>
      </c>
      <c r="P379">
        <f t="shared" si="21"/>
        <v>171000</v>
      </c>
      <c r="Q379" t="str">
        <f>VLOOKUP(C379,Customers!$A:$D,3,0)</f>
        <v>North</v>
      </c>
      <c r="R379" t="str">
        <f t="shared" si="22"/>
        <v>October</v>
      </c>
      <c r="S379">
        <f t="shared" si="23"/>
        <v>10</v>
      </c>
      <c r="T379" t="str">
        <f>VLOOKUP(C379,Customers!$A:$B,2,0)</f>
        <v>Amazon India</v>
      </c>
    </row>
    <row r="380" spans="1:20">
      <c r="A380" t="s">
        <v>467</v>
      </c>
      <c r="B380" s="1">
        <v>45544</v>
      </c>
      <c r="C380" t="s">
        <v>115</v>
      </c>
      <c r="D380" t="s">
        <v>53</v>
      </c>
      <c r="E380" t="s">
        <v>54</v>
      </c>
      <c r="F380">
        <v>4</v>
      </c>
      <c r="G380">
        <v>800000</v>
      </c>
      <c r="H380">
        <v>340000</v>
      </c>
      <c r="I380">
        <v>460000</v>
      </c>
      <c r="J380">
        <v>0</v>
      </c>
      <c r="K380" t="s">
        <v>30</v>
      </c>
      <c r="L380" t="s">
        <v>26</v>
      </c>
      <c r="M380" t="s">
        <v>32</v>
      </c>
      <c r="N380">
        <v>6</v>
      </c>
      <c r="O380">
        <f t="shared" si="20"/>
        <v>57.5</v>
      </c>
      <c r="P380">
        <f t="shared" si="21"/>
        <v>200000</v>
      </c>
      <c r="Q380" t="str">
        <f>VLOOKUP(C380,Customers!$A:$D,3,0)</f>
        <v>North</v>
      </c>
      <c r="R380" t="str">
        <f t="shared" si="22"/>
        <v>September</v>
      </c>
      <c r="S380">
        <f t="shared" si="23"/>
        <v>9</v>
      </c>
      <c r="T380" t="str">
        <f>VLOOKUP(C380,Customers!$A:$B,2,0)</f>
        <v>Paytm Services</v>
      </c>
    </row>
    <row r="381" spans="1:20">
      <c r="A381" t="s">
        <v>468</v>
      </c>
      <c r="B381" s="1">
        <v>45566</v>
      </c>
      <c r="C381" t="s">
        <v>173</v>
      </c>
      <c r="D381" t="s">
        <v>92</v>
      </c>
      <c r="E381" t="s">
        <v>24</v>
      </c>
      <c r="F381">
        <v>3</v>
      </c>
      <c r="G381">
        <v>513000</v>
      </c>
      <c r="H381">
        <v>240000</v>
      </c>
      <c r="I381">
        <v>273000</v>
      </c>
      <c r="J381">
        <v>5</v>
      </c>
      <c r="K381" t="s">
        <v>30</v>
      </c>
      <c r="L381" t="s">
        <v>19</v>
      </c>
      <c r="M381" t="s">
        <v>37</v>
      </c>
      <c r="N381">
        <v>6</v>
      </c>
      <c r="O381">
        <f t="shared" si="20"/>
        <v>53.22</v>
      </c>
      <c r="P381">
        <f t="shared" si="21"/>
        <v>171000</v>
      </c>
      <c r="Q381" t="str">
        <f>VLOOKUP(C381,Customers!$A:$D,3,0)</f>
        <v>South</v>
      </c>
      <c r="R381" t="str">
        <f t="shared" si="22"/>
        <v>October</v>
      </c>
      <c r="S381">
        <f t="shared" si="23"/>
        <v>10</v>
      </c>
      <c r="T381" t="str">
        <f>VLOOKUP(C381,Customers!$A:$B,2,0)</f>
        <v>Byju's Learning</v>
      </c>
    </row>
    <row r="382" spans="1:20">
      <c r="A382" t="s">
        <v>469</v>
      </c>
      <c r="B382" s="1">
        <v>45571</v>
      </c>
      <c r="C382" t="s">
        <v>91</v>
      </c>
      <c r="D382" t="s">
        <v>23</v>
      </c>
      <c r="E382" t="s">
        <v>24</v>
      </c>
      <c r="F382">
        <v>3</v>
      </c>
      <c r="G382">
        <v>324000</v>
      </c>
      <c r="H382">
        <v>150000</v>
      </c>
      <c r="I382">
        <v>174000</v>
      </c>
      <c r="J382">
        <v>10</v>
      </c>
      <c r="K382" t="s">
        <v>25</v>
      </c>
      <c r="L382" t="s">
        <v>47</v>
      </c>
      <c r="M382" t="s">
        <v>27</v>
      </c>
      <c r="N382">
        <v>24</v>
      </c>
      <c r="O382">
        <f t="shared" si="20"/>
        <v>53.7</v>
      </c>
      <c r="P382">
        <f t="shared" si="21"/>
        <v>108000</v>
      </c>
      <c r="Q382" t="str">
        <f>VLOOKUP(C382,Customers!$A:$D,3,0)</f>
        <v>South</v>
      </c>
      <c r="R382" t="str">
        <f t="shared" si="22"/>
        <v>October</v>
      </c>
      <c r="S382">
        <f t="shared" si="23"/>
        <v>10</v>
      </c>
      <c r="T382" t="str">
        <f>VLOOKUP(C382,Customers!$A:$B,2,0)</f>
        <v>CRED Fintech</v>
      </c>
    </row>
    <row r="383" spans="1:20">
      <c r="A383" t="s">
        <v>470</v>
      </c>
      <c r="B383" s="1">
        <v>45617</v>
      </c>
      <c r="C383" t="s">
        <v>122</v>
      </c>
      <c r="D383" t="s">
        <v>86</v>
      </c>
      <c r="E383" t="s">
        <v>24</v>
      </c>
      <c r="F383">
        <v>1</v>
      </c>
      <c r="G383">
        <v>133000</v>
      </c>
      <c r="H383">
        <v>60000</v>
      </c>
      <c r="I383">
        <v>73000</v>
      </c>
      <c r="J383">
        <v>5</v>
      </c>
      <c r="K383" t="s">
        <v>30</v>
      </c>
      <c r="L383" t="s">
        <v>58</v>
      </c>
      <c r="M383" t="s">
        <v>59</v>
      </c>
      <c r="N383">
        <v>12</v>
      </c>
      <c r="O383">
        <f t="shared" si="20"/>
        <v>54.89</v>
      </c>
      <c r="P383">
        <f t="shared" si="21"/>
        <v>133000</v>
      </c>
      <c r="Q383" t="str">
        <f>VLOOKUP(C383,Customers!$A:$D,3,0)</f>
        <v>West</v>
      </c>
      <c r="R383" t="str">
        <f t="shared" si="22"/>
        <v>November</v>
      </c>
      <c r="S383">
        <f t="shared" si="23"/>
        <v>11</v>
      </c>
      <c r="T383" t="str">
        <f>VLOOKUP(C383,Customers!$A:$B,2,0)</f>
        <v>HDFC Bank</v>
      </c>
    </row>
    <row r="384" spans="1:20">
      <c r="A384" t="s">
        <v>471</v>
      </c>
      <c r="B384" s="1">
        <v>45592</v>
      </c>
      <c r="C384" t="s">
        <v>151</v>
      </c>
      <c r="D384" t="s">
        <v>86</v>
      </c>
      <c r="E384" t="s">
        <v>24</v>
      </c>
      <c r="F384">
        <v>4</v>
      </c>
      <c r="G384">
        <v>504000</v>
      </c>
      <c r="H384">
        <v>240000</v>
      </c>
      <c r="I384">
        <v>264000</v>
      </c>
      <c r="J384">
        <v>10</v>
      </c>
      <c r="K384" t="s">
        <v>25</v>
      </c>
      <c r="L384" t="s">
        <v>47</v>
      </c>
      <c r="M384" t="s">
        <v>32</v>
      </c>
      <c r="N384">
        <v>3</v>
      </c>
      <c r="O384">
        <f t="shared" si="20"/>
        <v>52.38</v>
      </c>
      <c r="P384">
        <f t="shared" si="21"/>
        <v>126000</v>
      </c>
      <c r="Q384" t="str">
        <f>VLOOKUP(C384,Customers!$A:$D,3,0)</f>
        <v>North</v>
      </c>
      <c r="R384" t="str">
        <f t="shared" si="22"/>
        <v>October</v>
      </c>
      <c r="S384">
        <f t="shared" si="23"/>
        <v>10</v>
      </c>
      <c r="T384" t="str">
        <f>VLOOKUP(C384,Customers!$A:$B,2,0)</f>
        <v>HCL Systems</v>
      </c>
    </row>
    <row r="385" spans="1:20">
      <c r="A385" t="s">
        <v>472</v>
      </c>
      <c r="B385" s="1">
        <v>45573</v>
      </c>
      <c r="C385" t="s">
        <v>173</v>
      </c>
      <c r="D385" t="s">
        <v>67</v>
      </c>
      <c r="E385" t="s">
        <v>54</v>
      </c>
      <c r="F385">
        <v>4</v>
      </c>
      <c r="G385">
        <v>352000</v>
      </c>
      <c r="H385">
        <v>152000</v>
      </c>
      <c r="I385">
        <v>200000</v>
      </c>
      <c r="J385">
        <v>0</v>
      </c>
      <c r="K385" t="s">
        <v>30</v>
      </c>
      <c r="L385" t="s">
        <v>31</v>
      </c>
      <c r="M385" t="s">
        <v>32</v>
      </c>
      <c r="N385">
        <v>6</v>
      </c>
      <c r="O385">
        <f t="shared" si="20"/>
        <v>56.82</v>
      </c>
      <c r="P385">
        <f t="shared" si="21"/>
        <v>88000</v>
      </c>
      <c r="Q385" t="str">
        <f>VLOOKUP(C385,Customers!$A:$D,3,0)</f>
        <v>South</v>
      </c>
      <c r="R385" t="str">
        <f t="shared" si="22"/>
        <v>October</v>
      </c>
      <c r="S385">
        <f t="shared" si="23"/>
        <v>10</v>
      </c>
      <c r="T385" t="str">
        <f>VLOOKUP(C385,Customers!$A:$B,2,0)</f>
        <v>Byju's Learning</v>
      </c>
    </row>
    <row r="386" spans="1:20">
      <c r="A386" t="s">
        <v>473</v>
      </c>
      <c r="B386" s="1">
        <v>45572</v>
      </c>
      <c r="C386" t="s">
        <v>133</v>
      </c>
      <c r="D386" t="s">
        <v>69</v>
      </c>
      <c r="E386" t="s">
        <v>62</v>
      </c>
      <c r="F386">
        <v>3</v>
      </c>
      <c r="G386">
        <v>228000</v>
      </c>
      <c r="H386">
        <v>120000</v>
      </c>
      <c r="I386">
        <v>108000</v>
      </c>
      <c r="J386">
        <v>20</v>
      </c>
      <c r="K386" t="s">
        <v>30</v>
      </c>
      <c r="L386" t="s">
        <v>47</v>
      </c>
      <c r="M386" t="s">
        <v>59</v>
      </c>
      <c r="N386">
        <v>12</v>
      </c>
      <c r="O386">
        <f t="shared" si="20"/>
        <v>47.37</v>
      </c>
      <c r="P386">
        <f t="shared" si="21"/>
        <v>76000</v>
      </c>
      <c r="Q386" t="str">
        <f>VLOOKUP(C386,Customers!$A:$D,3,0)</f>
        <v>South</v>
      </c>
      <c r="R386" t="str">
        <f t="shared" si="22"/>
        <v>October</v>
      </c>
      <c r="S386">
        <f t="shared" si="23"/>
        <v>10</v>
      </c>
      <c r="T386" t="str">
        <f>VLOOKUP(C386,Customers!$A:$B,2,0)</f>
        <v>Razorpay Tech</v>
      </c>
    </row>
    <row r="387" spans="1:20">
      <c r="A387" t="s">
        <v>474</v>
      </c>
      <c r="B387" s="1">
        <v>45338</v>
      </c>
      <c r="C387" t="s">
        <v>143</v>
      </c>
      <c r="D387" t="s">
        <v>101</v>
      </c>
      <c r="E387" t="s">
        <v>62</v>
      </c>
      <c r="F387">
        <v>3</v>
      </c>
      <c r="G387">
        <v>228000</v>
      </c>
      <c r="H387">
        <v>105000</v>
      </c>
      <c r="I387">
        <v>123000</v>
      </c>
      <c r="J387">
        <v>5</v>
      </c>
      <c r="K387" t="s">
        <v>30</v>
      </c>
      <c r="L387" t="s">
        <v>51</v>
      </c>
      <c r="M387" t="s">
        <v>59</v>
      </c>
      <c r="N387">
        <v>3</v>
      </c>
      <c r="O387">
        <f t="shared" ref="O387:O450" si="24">ROUND((I387/G387)*100,2)</f>
        <v>53.95</v>
      </c>
      <c r="P387">
        <f t="shared" ref="P387:P450" si="25">ROUND(G387/F387,2)</f>
        <v>76000</v>
      </c>
      <c r="Q387" t="str">
        <f>VLOOKUP(C387,Customers!$A:$D,3,0)</f>
        <v>North</v>
      </c>
      <c r="R387" t="str">
        <f t="shared" ref="R387:R450" si="26">TEXT(B387,"MMMM")</f>
        <v>February</v>
      </c>
      <c r="S387">
        <f t="shared" ref="S387:S450" si="27">MONTH(B387)</f>
        <v>2</v>
      </c>
      <c r="T387" t="str">
        <f>VLOOKUP(C387,Customers!$A:$B,2,0)</f>
        <v>Nykaa Fashion</v>
      </c>
    </row>
    <row r="388" spans="1:20">
      <c r="A388" t="s">
        <v>475</v>
      </c>
      <c r="B388" s="1">
        <v>45426</v>
      </c>
      <c r="C388" t="s">
        <v>15</v>
      </c>
      <c r="D388" t="s">
        <v>16</v>
      </c>
      <c r="E388" t="s">
        <v>17</v>
      </c>
      <c r="F388">
        <v>3</v>
      </c>
      <c r="G388">
        <v>189000</v>
      </c>
      <c r="H388">
        <v>90000</v>
      </c>
      <c r="I388">
        <v>99000</v>
      </c>
      <c r="J388">
        <v>10</v>
      </c>
      <c r="K388" t="s">
        <v>30</v>
      </c>
      <c r="L388" t="s">
        <v>51</v>
      </c>
      <c r="M388" t="s">
        <v>27</v>
      </c>
      <c r="N388">
        <v>3</v>
      </c>
      <c r="O388">
        <f t="shared" si="24"/>
        <v>52.38</v>
      </c>
      <c r="P388">
        <f t="shared" si="25"/>
        <v>63000</v>
      </c>
      <c r="Q388" t="str">
        <f>VLOOKUP(C388,Customers!$A:$D,3,0)</f>
        <v>South</v>
      </c>
      <c r="R388" t="str">
        <f t="shared" si="26"/>
        <v>May</v>
      </c>
      <c r="S388">
        <f t="shared" si="27"/>
        <v>5</v>
      </c>
      <c r="T388" t="str">
        <f>VLOOKUP(C388,Customers!$A:$B,2,0)</f>
        <v>Swiggy Inc</v>
      </c>
    </row>
    <row r="389" spans="1:20">
      <c r="A389" t="s">
        <v>476</v>
      </c>
      <c r="B389" s="1">
        <v>45634</v>
      </c>
      <c r="C389" t="s">
        <v>91</v>
      </c>
      <c r="D389" t="s">
        <v>89</v>
      </c>
      <c r="E389" t="s">
        <v>45</v>
      </c>
      <c r="F389">
        <v>5</v>
      </c>
      <c r="G389">
        <v>800000</v>
      </c>
      <c r="H389">
        <v>350000</v>
      </c>
      <c r="I389">
        <v>450000</v>
      </c>
      <c r="J389">
        <v>0</v>
      </c>
      <c r="K389" t="s">
        <v>25</v>
      </c>
      <c r="L389" t="s">
        <v>31</v>
      </c>
      <c r="M389" t="s">
        <v>59</v>
      </c>
      <c r="N389">
        <v>24</v>
      </c>
      <c r="O389">
        <f t="shared" si="24"/>
        <v>56.25</v>
      </c>
      <c r="P389">
        <f t="shared" si="25"/>
        <v>160000</v>
      </c>
      <c r="Q389" t="str">
        <f>VLOOKUP(C389,Customers!$A:$D,3,0)</f>
        <v>South</v>
      </c>
      <c r="R389" t="str">
        <f t="shared" si="26"/>
        <v>December</v>
      </c>
      <c r="S389">
        <f t="shared" si="27"/>
        <v>12</v>
      </c>
      <c r="T389" t="str">
        <f>VLOOKUP(C389,Customers!$A:$B,2,0)</f>
        <v>CRED Fintech</v>
      </c>
    </row>
    <row r="390" spans="1:20">
      <c r="A390" t="s">
        <v>477</v>
      </c>
      <c r="B390" s="1">
        <v>45566</v>
      </c>
      <c r="C390" t="s">
        <v>136</v>
      </c>
      <c r="D390" t="s">
        <v>76</v>
      </c>
      <c r="E390" t="s">
        <v>41</v>
      </c>
      <c r="F390">
        <v>5</v>
      </c>
      <c r="G390">
        <v>210000</v>
      </c>
      <c r="H390">
        <v>90000</v>
      </c>
      <c r="I390">
        <v>120000</v>
      </c>
      <c r="J390">
        <v>0</v>
      </c>
      <c r="K390" t="s">
        <v>30</v>
      </c>
      <c r="L390" t="s">
        <v>97</v>
      </c>
      <c r="M390" t="s">
        <v>27</v>
      </c>
      <c r="N390">
        <v>24</v>
      </c>
      <c r="O390">
        <f t="shared" si="24"/>
        <v>57.14</v>
      </c>
      <c r="P390">
        <f t="shared" si="25"/>
        <v>42000</v>
      </c>
      <c r="Q390" t="str">
        <f>VLOOKUP(C390,Customers!$A:$D,3,0)</f>
        <v>North</v>
      </c>
      <c r="R390" t="str">
        <f t="shared" si="26"/>
        <v>October</v>
      </c>
      <c r="S390">
        <f t="shared" si="27"/>
        <v>10</v>
      </c>
      <c r="T390" t="str">
        <f>VLOOKUP(C390,Customers!$A:$B,2,0)</f>
        <v>BharatPe</v>
      </c>
    </row>
    <row r="391" spans="1:20">
      <c r="A391" t="s">
        <v>478</v>
      </c>
      <c r="B391" s="1">
        <v>45309</v>
      </c>
      <c r="C391" t="s">
        <v>94</v>
      </c>
      <c r="D391" t="s">
        <v>80</v>
      </c>
      <c r="E391" t="s">
        <v>41</v>
      </c>
      <c r="F391">
        <v>5</v>
      </c>
      <c r="G391">
        <v>221000</v>
      </c>
      <c r="H391">
        <v>110000</v>
      </c>
      <c r="I391">
        <v>111000</v>
      </c>
      <c r="J391">
        <v>15</v>
      </c>
      <c r="K391" t="s">
        <v>25</v>
      </c>
      <c r="L391" t="s">
        <v>51</v>
      </c>
      <c r="M391" t="s">
        <v>27</v>
      </c>
      <c r="N391">
        <v>24</v>
      </c>
      <c r="O391">
        <f t="shared" si="24"/>
        <v>50.23</v>
      </c>
      <c r="P391">
        <f t="shared" si="25"/>
        <v>44200</v>
      </c>
      <c r="Q391" t="str">
        <f>VLOOKUP(C391,Customers!$A:$D,3,0)</f>
        <v>South</v>
      </c>
      <c r="R391" t="str">
        <f t="shared" si="26"/>
        <v>January</v>
      </c>
      <c r="S391">
        <f t="shared" si="27"/>
        <v>1</v>
      </c>
      <c r="T391" t="str">
        <f>VLOOKUP(C391,Customers!$A:$B,2,0)</f>
        <v>PhonePe Pay</v>
      </c>
    </row>
    <row r="392" spans="1:20">
      <c r="A392" t="s">
        <v>479</v>
      </c>
      <c r="B392" s="1">
        <v>45380</v>
      </c>
      <c r="C392" t="s">
        <v>122</v>
      </c>
      <c r="D392" t="s">
        <v>57</v>
      </c>
      <c r="E392" t="s">
        <v>17</v>
      </c>
      <c r="F392">
        <v>2</v>
      </c>
      <c r="G392">
        <v>120000</v>
      </c>
      <c r="H392">
        <v>50000</v>
      </c>
      <c r="I392">
        <v>70000</v>
      </c>
      <c r="J392">
        <v>0</v>
      </c>
      <c r="K392" t="s">
        <v>30</v>
      </c>
      <c r="L392" t="s">
        <v>95</v>
      </c>
      <c r="M392" t="s">
        <v>27</v>
      </c>
      <c r="N392">
        <v>24</v>
      </c>
      <c r="O392">
        <f t="shared" si="24"/>
        <v>58.33</v>
      </c>
      <c r="P392">
        <f t="shared" si="25"/>
        <v>60000</v>
      </c>
      <c r="Q392" t="str">
        <f>VLOOKUP(C392,Customers!$A:$D,3,0)</f>
        <v>West</v>
      </c>
      <c r="R392" t="str">
        <f t="shared" si="26"/>
        <v>March</v>
      </c>
      <c r="S392">
        <f t="shared" si="27"/>
        <v>3</v>
      </c>
      <c r="T392" t="str">
        <f>VLOOKUP(C392,Customers!$A:$B,2,0)</f>
        <v>HDFC Bank</v>
      </c>
    </row>
    <row r="393" spans="1:20">
      <c r="A393" t="s">
        <v>480</v>
      </c>
      <c r="B393" s="1">
        <v>45395</v>
      </c>
      <c r="C393" t="s">
        <v>158</v>
      </c>
      <c r="D393" t="s">
        <v>61</v>
      </c>
      <c r="E393" t="s">
        <v>62</v>
      </c>
      <c r="F393">
        <v>5</v>
      </c>
      <c r="G393">
        <v>1045000</v>
      </c>
      <c r="H393">
        <v>450000</v>
      </c>
      <c r="I393">
        <v>595000</v>
      </c>
      <c r="J393">
        <v>5</v>
      </c>
      <c r="K393" t="s">
        <v>30</v>
      </c>
      <c r="L393" t="s">
        <v>19</v>
      </c>
      <c r="M393" t="s">
        <v>27</v>
      </c>
      <c r="N393">
        <v>24</v>
      </c>
      <c r="O393">
        <f t="shared" si="24"/>
        <v>56.94</v>
      </c>
      <c r="P393">
        <f t="shared" si="25"/>
        <v>209000</v>
      </c>
      <c r="Q393" t="str">
        <f>VLOOKUP(C393,Customers!$A:$D,3,0)</f>
        <v>West</v>
      </c>
      <c r="R393" t="str">
        <f t="shared" si="26"/>
        <v>April</v>
      </c>
      <c r="S393">
        <f t="shared" si="27"/>
        <v>4</v>
      </c>
      <c r="T393" t="str">
        <f>VLOOKUP(C393,Customers!$A:$B,2,0)</f>
        <v>Tanishq Retail</v>
      </c>
    </row>
    <row r="394" spans="1:20">
      <c r="A394" t="s">
        <v>481</v>
      </c>
      <c r="B394" s="1">
        <v>45576</v>
      </c>
      <c r="C394" t="s">
        <v>104</v>
      </c>
      <c r="D394" t="s">
        <v>50</v>
      </c>
      <c r="E394" t="s">
        <v>17</v>
      </c>
      <c r="F394">
        <v>5</v>
      </c>
      <c r="G394">
        <v>237500</v>
      </c>
      <c r="H394">
        <v>100000</v>
      </c>
      <c r="I394">
        <v>137500</v>
      </c>
      <c r="J394">
        <v>5</v>
      </c>
      <c r="K394" t="s">
        <v>30</v>
      </c>
      <c r="L394" t="s">
        <v>26</v>
      </c>
      <c r="M394" t="s">
        <v>20</v>
      </c>
      <c r="N394">
        <v>24</v>
      </c>
      <c r="O394">
        <f t="shared" si="24"/>
        <v>57.89</v>
      </c>
      <c r="P394">
        <f t="shared" si="25"/>
        <v>47500</v>
      </c>
      <c r="Q394" t="str">
        <f>VLOOKUP(C394,Customers!$A:$D,3,0)</f>
        <v>South</v>
      </c>
      <c r="R394" t="str">
        <f t="shared" si="26"/>
        <v>October</v>
      </c>
      <c r="S394">
        <f t="shared" si="27"/>
        <v>10</v>
      </c>
      <c r="T394" t="str">
        <f>VLOOKUP(C394,Customers!$A:$B,2,0)</f>
        <v>Ola Cabs</v>
      </c>
    </row>
    <row r="395" spans="1:20">
      <c r="A395" t="s">
        <v>482</v>
      </c>
      <c r="B395" s="1">
        <v>45349</v>
      </c>
      <c r="C395" t="s">
        <v>88</v>
      </c>
      <c r="D395" t="s">
        <v>82</v>
      </c>
      <c r="E395" t="s">
        <v>54</v>
      </c>
      <c r="F395">
        <v>5</v>
      </c>
      <c r="G395">
        <v>652500</v>
      </c>
      <c r="H395">
        <v>300000</v>
      </c>
      <c r="I395">
        <v>352500</v>
      </c>
      <c r="J395">
        <v>10</v>
      </c>
      <c r="K395" t="s">
        <v>30</v>
      </c>
      <c r="L395" t="s">
        <v>19</v>
      </c>
      <c r="M395" t="s">
        <v>20</v>
      </c>
      <c r="N395">
        <v>3</v>
      </c>
      <c r="O395">
        <f t="shared" si="24"/>
        <v>54.02</v>
      </c>
      <c r="P395">
        <f t="shared" si="25"/>
        <v>130500</v>
      </c>
      <c r="Q395" t="str">
        <f>VLOOKUP(C395,Customers!$A:$D,3,0)</f>
        <v>West</v>
      </c>
      <c r="R395" t="str">
        <f t="shared" si="26"/>
        <v>February</v>
      </c>
      <c r="S395">
        <f t="shared" si="27"/>
        <v>2</v>
      </c>
      <c r="T395" t="str">
        <f>VLOOKUP(C395,Customers!$A:$B,2,0)</f>
        <v>Reliance Digital</v>
      </c>
    </row>
    <row r="396" spans="1:20">
      <c r="A396" t="s">
        <v>483</v>
      </c>
      <c r="B396" s="1">
        <v>45438</v>
      </c>
      <c r="C396" t="s">
        <v>94</v>
      </c>
      <c r="D396" t="s">
        <v>44</v>
      </c>
      <c r="E396" t="s">
        <v>45</v>
      </c>
      <c r="F396">
        <v>4</v>
      </c>
      <c r="G396">
        <v>1064000</v>
      </c>
      <c r="H396">
        <v>480000</v>
      </c>
      <c r="I396">
        <v>584000</v>
      </c>
      <c r="J396">
        <v>5</v>
      </c>
      <c r="K396" t="s">
        <v>30</v>
      </c>
      <c r="L396" t="s">
        <v>47</v>
      </c>
      <c r="M396" t="s">
        <v>20</v>
      </c>
      <c r="N396">
        <v>24</v>
      </c>
      <c r="O396">
        <f t="shared" si="24"/>
        <v>54.89</v>
      </c>
      <c r="P396">
        <f t="shared" si="25"/>
        <v>266000</v>
      </c>
      <c r="Q396" t="str">
        <f>VLOOKUP(C396,Customers!$A:$D,3,0)</f>
        <v>South</v>
      </c>
      <c r="R396" t="str">
        <f t="shared" si="26"/>
        <v>May</v>
      </c>
      <c r="S396">
        <f t="shared" si="27"/>
        <v>5</v>
      </c>
      <c r="T396" t="str">
        <f>VLOOKUP(C396,Customers!$A:$B,2,0)</f>
        <v>PhonePe Pay</v>
      </c>
    </row>
    <row r="397" spans="1:20">
      <c r="A397" t="s">
        <v>484</v>
      </c>
      <c r="B397" s="1">
        <v>45613</v>
      </c>
      <c r="C397" t="s">
        <v>88</v>
      </c>
      <c r="D397" t="s">
        <v>67</v>
      </c>
      <c r="E397" t="s">
        <v>54</v>
      </c>
      <c r="F397">
        <v>5</v>
      </c>
      <c r="G397">
        <v>374000</v>
      </c>
      <c r="H397">
        <v>190000</v>
      </c>
      <c r="I397">
        <v>184000</v>
      </c>
      <c r="J397">
        <v>15</v>
      </c>
      <c r="K397" t="s">
        <v>18</v>
      </c>
      <c r="L397" t="s">
        <v>95</v>
      </c>
      <c r="M397" t="s">
        <v>27</v>
      </c>
      <c r="N397">
        <v>24</v>
      </c>
      <c r="O397">
        <f t="shared" si="24"/>
        <v>49.2</v>
      </c>
      <c r="P397">
        <f t="shared" si="25"/>
        <v>74800</v>
      </c>
      <c r="Q397" t="str">
        <f>VLOOKUP(C397,Customers!$A:$D,3,0)</f>
        <v>West</v>
      </c>
      <c r="R397" t="str">
        <f t="shared" si="26"/>
        <v>November</v>
      </c>
      <c r="S397">
        <f t="shared" si="27"/>
        <v>11</v>
      </c>
      <c r="T397" t="str">
        <f>VLOOKUP(C397,Customers!$A:$B,2,0)</f>
        <v>Reliance Digital</v>
      </c>
    </row>
    <row r="398" spans="1:20">
      <c r="A398" t="s">
        <v>485</v>
      </c>
      <c r="B398" s="1">
        <v>45461</v>
      </c>
      <c r="C398" t="s">
        <v>99</v>
      </c>
      <c r="D398" t="s">
        <v>76</v>
      </c>
      <c r="E398" t="s">
        <v>41</v>
      </c>
      <c r="F398">
        <v>3</v>
      </c>
      <c r="G398">
        <v>119700</v>
      </c>
      <c r="H398">
        <v>54000</v>
      </c>
      <c r="I398">
        <v>65700</v>
      </c>
      <c r="J398">
        <v>5</v>
      </c>
      <c r="K398" t="s">
        <v>30</v>
      </c>
      <c r="L398" t="s">
        <v>70</v>
      </c>
      <c r="M398" t="s">
        <v>37</v>
      </c>
      <c r="N398">
        <v>12</v>
      </c>
      <c r="O398">
        <f t="shared" si="24"/>
        <v>54.89</v>
      </c>
      <c r="P398">
        <f t="shared" si="25"/>
        <v>39900</v>
      </c>
      <c r="Q398" t="str">
        <f>VLOOKUP(C398,Customers!$A:$D,3,0)</f>
        <v>West</v>
      </c>
      <c r="R398" t="str">
        <f t="shared" si="26"/>
        <v>June</v>
      </c>
      <c r="S398">
        <f t="shared" si="27"/>
        <v>6</v>
      </c>
      <c r="T398" t="str">
        <f>VLOOKUP(C398,Customers!$A:$B,2,0)</f>
        <v>Tata Consultancy</v>
      </c>
    </row>
    <row r="399" spans="1:20">
      <c r="A399" t="s">
        <v>486</v>
      </c>
      <c r="B399" s="1">
        <v>45435</v>
      </c>
      <c r="C399" t="s">
        <v>43</v>
      </c>
      <c r="D399" t="s">
        <v>69</v>
      </c>
      <c r="E399" t="s">
        <v>62</v>
      </c>
      <c r="F399">
        <v>2</v>
      </c>
      <c r="G399">
        <v>190000</v>
      </c>
      <c r="H399">
        <v>80000</v>
      </c>
      <c r="I399">
        <v>110000</v>
      </c>
      <c r="J399">
        <v>0</v>
      </c>
      <c r="K399" t="s">
        <v>30</v>
      </c>
      <c r="L399" t="s">
        <v>47</v>
      </c>
      <c r="M399" t="s">
        <v>37</v>
      </c>
      <c r="N399">
        <v>12</v>
      </c>
      <c r="O399">
        <f t="shared" si="24"/>
        <v>57.89</v>
      </c>
      <c r="P399">
        <f t="shared" si="25"/>
        <v>95000</v>
      </c>
      <c r="Q399" t="str">
        <f>VLOOKUP(C399,Customers!$A:$D,3,0)</f>
        <v>South</v>
      </c>
      <c r="R399" t="str">
        <f t="shared" si="26"/>
        <v>May</v>
      </c>
      <c r="S399">
        <f t="shared" si="27"/>
        <v>5</v>
      </c>
      <c r="T399" t="str">
        <f>VLOOKUP(C399,Customers!$A:$B,2,0)</f>
        <v>Groww Invest</v>
      </c>
    </row>
    <row r="400" spans="1:20">
      <c r="A400" t="s">
        <v>487</v>
      </c>
      <c r="B400" s="1">
        <v>45505</v>
      </c>
      <c r="C400" t="s">
        <v>56</v>
      </c>
      <c r="D400" t="s">
        <v>57</v>
      </c>
      <c r="E400" t="s">
        <v>17</v>
      </c>
      <c r="F400">
        <v>4</v>
      </c>
      <c r="G400">
        <v>240000</v>
      </c>
      <c r="H400">
        <v>100000</v>
      </c>
      <c r="I400">
        <v>140000</v>
      </c>
      <c r="J400">
        <v>0</v>
      </c>
      <c r="K400" t="s">
        <v>30</v>
      </c>
      <c r="L400" t="s">
        <v>47</v>
      </c>
      <c r="M400" t="s">
        <v>20</v>
      </c>
      <c r="N400">
        <v>12</v>
      </c>
      <c r="O400">
        <f t="shared" si="24"/>
        <v>58.33</v>
      </c>
      <c r="P400">
        <f t="shared" si="25"/>
        <v>60000</v>
      </c>
      <c r="Q400" t="str">
        <f>VLOOKUP(C400,Customers!$A:$D,3,0)</f>
        <v>South</v>
      </c>
      <c r="R400" t="str">
        <f t="shared" si="26"/>
        <v>August</v>
      </c>
      <c r="S400">
        <f t="shared" si="27"/>
        <v>8</v>
      </c>
      <c r="T400" t="str">
        <f>VLOOKUP(C400,Customers!$A:$B,2,0)</f>
        <v>Wipro Technologies</v>
      </c>
    </row>
    <row r="401" spans="1:20">
      <c r="A401" t="s">
        <v>488</v>
      </c>
      <c r="B401" s="1">
        <v>45320</v>
      </c>
      <c r="C401" t="s">
        <v>122</v>
      </c>
      <c r="D401" t="s">
        <v>23</v>
      </c>
      <c r="E401" t="s">
        <v>24</v>
      </c>
      <c r="F401">
        <v>3</v>
      </c>
      <c r="G401">
        <v>306000</v>
      </c>
      <c r="H401">
        <v>150000</v>
      </c>
      <c r="I401">
        <v>156000</v>
      </c>
      <c r="J401">
        <v>15</v>
      </c>
      <c r="K401" t="s">
        <v>25</v>
      </c>
      <c r="L401" t="s">
        <v>95</v>
      </c>
      <c r="M401" t="s">
        <v>32</v>
      </c>
      <c r="N401">
        <v>3</v>
      </c>
      <c r="O401">
        <f t="shared" si="24"/>
        <v>50.98</v>
      </c>
      <c r="P401">
        <f t="shared" si="25"/>
        <v>102000</v>
      </c>
      <c r="Q401" t="str">
        <f>VLOOKUP(C401,Customers!$A:$D,3,0)</f>
        <v>West</v>
      </c>
      <c r="R401" t="str">
        <f t="shared" si="26"/>
        <v>January</v>
      </c>
      <c r="S401">
        <f t="shared" si="27"/>
        <v>1</v>
      </c>
      <c r="T401" t="str">
        <f>VLOOKUP(C401,Customers!$A:$B,2,0)</f>
        <v>HDFC Bank</v>
      </c>
    </row>
    <row r="402" spans="1:20">
      <c r="A402" t="s">
        <v>489</v>
      </c>
      <c r="B402" s="1">
        <v>45587</v>
      </c>
      <c r="C402" t="s">
        <v>139</v>
      </c>
      <c r="D402" t="s">
        <v>86</v>
      </c>
      <c r="E402" t="s">
        <v>24</v>
      </c>
      <c r="F402">
        <v>2</v>
      </c>
      <c r="G402">
        <v>280000</v>
      </c>
      <c r="H402">
        <v>120000</v>
      </c>
      <c r="I402">
        <v>160000</v>
      </c>
      <c r="J402">
        <v>0</v>
      </c>
      <c r="K402" t="s">
        <v>30</v>
      </c>
      <c r="L402" t="s">
        <v>31</v>
      </c>
      <c r="M402" t="s">
        <v>37</v>
      </c>
      <c r="N402">
        <v>6</v>
      </c>
      <c r="O402">
        <f t="shared" si="24"/>
        <v>57.14</v>
      </c>
      <c r="P402">
        <f t="shared" si="25"/>
        <v>140000</v>
      </c>
      <c r="Q402" t="str">
        <f>VLOOKUP(C402,Customers!$A:$D,3,0)</f>
        <v>North</v>
      </c>
      <c r="R402" t="str">
        <f t="shared" si="26"/>
        <v>October</v>
      </c>
      <c r="S402">
        <f t="shared" si="27"/>
        <v>10</v>
      </c>
      <c r="T402" t="str">
        <f>VLOOKUP(C402,Customers!$A:$B,2,0)</f>
        <v>PolicyBazaar</v>
      </c>
    </row>
    <row r="403" spans="1:20">
      <c r="A403" t="s">
        <v>490</v>
      </c>
      <c r="B403" s="1">
        <v>45432</v>
      </c>
      <c r="C403" t="s">
        <v>79</v>
      </c>
      <c r="D403" t="s">
        <v>80</v>
      </c>
      <c r="E403" t="s">
        <v>41</v>
      </c>
      <c r="F403">
        <v>4</v>
      </c>
      <c r="G403">
        <v>176800</v>
      </c>
      <c r="H403">
        <v>88000</v>
      </c>
      <c r="I403">
        <v>88800</v>
      </c>
      <c r="J403">
        <v>15</v>
      </c>
      <c r="K403" t="s">
        <v>30</v>
      </c>
      <c r="L403" t="s">
        <v>31</v>
      </c>
      <c r="M403" t="s">
        <v>32</v>
      </c>
      <c r="N403">
        <v>12</v>
      </c>
      <c r="O403">
        <f t="shared" si="24"/>
        <v>50.23</v>
      </c>
      <c r="P403">
        <f t="shared" si="25"/>
        <v>44200</v>
      </c>
      <c r="Q403" t="str">
        <f>VLOOKUP(C403,Customers!$A:$D,3,0)</f>
        <v>West</v>
      </c>
      <c r="R403" t="str">
        <f t="shared" si="26"/>
        <v>May</v>
      </c>
      <c r="S403">
        <f t="shared" si="27"/>
        <v>5</v>
      </c>
      <c r="T403" t="str">
        <f>VLOOKUP(C403,Customers!$A:$B,2,0)</f>
        <v>Dream11 Sports</v>
      </c>
    </row>
    <row r="404" spans="1:20">
      <c r="A404" t="s">
        <v>491</v>
      </c>
      <c r="B404" s="1">
        <v>45542</v>
      </c>
      <c r="C404" t="s">
        <v>122</v>
      </c>
      <c r="D404" t="s">
        <v>76</v>
      </c>
      <c r="E404" t="s">
        <v>41</v>
      </c>
      <c r="F404">
        <v>5</v>
      </c>
      <c r="G404">
        <v>189000</v>
      </c>
      <c r="H404">
        <v>90000</v>
      </c>
      <c r="I404">
        <v>99000</v>
      </c>
      <c r="J404">
        <v>10</v>
      </c>
      <c r="K404" t="s">
        <v>30</v>
      </c>
      <c r="L404" t="s">
        <v>70</v>
      </c>
      <c r="M404" t="s">
        <v>32</v>
      </c>
      <c r="N404">
        <v>12</v>
      </c>
      <c r="O404">
        <f t="shared" si="24"/>
        <v>52.38</v>
      </c>
      <c r="P404">
        <f t="shared" si="25"/>
        <v>37800</v>
      </c>
      <c r="Q404" t="str">
        <f>VLOOKUP(C404,Customers!$A:$D,3,0)</f>
        <v>West</v>
      </c>
      <c r="R404" t="str">
        <f t="shared" si="26"/>
        <v>September</v>
      </c>
      <c r="S404">
        <f t="shared" si="27"/>
        <v>9</v>
      </c>
      <c r="T404" t="str">
        <f>VLOOKUP(C404,Customers!$A:$B,2,0)</f>
        <v>HDFC Bank</v>
      </c>
    </row>
    <row r="405" spans="1:20">
      <c r="A405" t="s">
        <v>492</v>
      </c>
      <c r="B405" s="1">
        <v>45565</v>
      </c>
      <c r="C405" t="s">
        <v>143</v>
      </c>
      <c r="D405" t="s">
        <v>86</v>
      </c>
      <c r="E405" t="s">
        <v>24</v>
      </c>
      <c r="F405">
        <v>2</v>
      </c>
      <c r="G405">
        <v>224000</v>
      </c>
      <c r="H405">
        <v>120000</v>
      </c>
      <c r="I405">
        <v>104000</v>
      </c>
      <c r="J405">
        <v>20</v>
      </c>
      <c r="K405" t="s">
        <v>25</v>
      </c>
      <c r="L405" t="s">
        <v>58</v>
      </c>
      <c r="M405" t="s">
        <v>32</v>
      </c>
      <c r="N405">
        <v>6</v>
      </c>
      <c r="O405">
        <f t="shared" si="24"/>
        <v>46.43</v>
      </c>
      <c r="P405">
        <f t="shared" si="25"/>
        <v>112000</v>
      </c>
      <c r="Q405" t="str">
        <f>VLOOKUP(C405,Customers!$A:$D,3,0)</f>
        <v>North</v>
      </c>
      <c r="R405" t="str">
        <f t="shared" si="26"/>
        <v>September</v>
      </c>
      <c r="S405">
        <f t="shared" si="27"/>
        <v>9</v>
      </c>
      <c r="T405" t="str">
        <f>VLOOKUP(C405,Customers!$A:$B,2,0)</f>
        <v>Nykaa Fashion</v>
      </c>
    </row>
    <row r="406" spans="1:20">
      <c r="A406" t="s">
        <v>493</v>
      </c>
      <c r="B406" s="1">
        <v>45645</v>
      </c>
      <c r="C406" t="s">
        <v>29</v>
      </c>
      <c r="D406" t="s">
        <v>80</v>
      </c>
      <c r="E406" t="s">
        <v>41</v>
      </c>
      <c r="F406">
        <v>1</v>
      </c>
      <c r="G406">
        <v>41600</v>
      </c>
      <c r="H406">
        <v>22000</v>
      </c>
      <c r="I406">
        <v>19600</v>
      </c>
      <c r="J406">
        <v>20</v>
      </c>
      <c r="K406" t="s">
        <v>18</v>
      </c>
      <c r="L406" t="s">
        <v>31</v>
      </c>
      <c r="M406" t="s">
        <v>59</v>
      </c>
      <c r="N406">
        <v>6</v>
      </c>
      <c r="O406">
        <f t="shared" si="24"/>
        <v>47.12</v>
      </c>
      <c r="P406">
        <f t="shared" si="25"/>
        <v>41600</v>
      </c>
      <c r="Q406" t="str">
        <f>VLOOKUP(C406,Customers!$A:$D,3,0)</f>
        <v>South</v>
      </c>
      <c r="R406" t="str">
        <f t="shared" si="26"/>
        <v>December</v>
      </c>
      <c r="S406">
        <f t="shared" si="27"/>
        <v>12</v>
      </c>
      <c r="T406" t="str">
        <f>VLOOKUP(C406,Customers!$A:$B,2,0)</f>
        <v>Meesho Network</v>
      </c>
    </row>
    <row r="407" spans="1:20">
      <c r="A407" t="s">
        <v>494</v>
      </c>
      <c r="B407" s="1">
        <v>45563</v>
      </c>
      <c r="C407" t="s">
        <v>65</v>
      </c>
      <c r="D407" t="s">
        <v>50</v>
      </c>
      <c r="E407" t="s">
        <v>17</v>
      </c>
      <c r="F407">
        <v>5</v>
      </c>
      <c r="G407">
        <v>200000</v>
      </c>
      <c r="H407">
        <v>100000</v>
      </c>
      <c r="I407">
        <v>100000</v>
      </c>
      <c r="J407">
        <v>20</v>
      </c>
      <c r="K407" t="s">
        <v>30</v>
      </c>
      <c r="L407" t="s">
        <v>97</v>
      </c>
      <c r="M407" t="s">
        <v>59</v>
      </c>
      <c r="N407">
        <v>24</v>
      </c>
      <c r="O407">
        <f t="shared" si="24"/>
        <v>50</v>
      </c>
      <c r="P407">
        <f t="shared" si="25"/>
        <v>40000</v>
      </c>
      <c r="Q407" t="str">
        <f>VLOOKUP(C407,Customers!$A:$D,3,0)</f>
        <v>North</v>
      </c>
      <c r="R407" t="str">
        <f t="shared" si="26"/>
        <v>September</v>
      </c>
      <c r="S407">
        <f t="shared" si="27"/>
        <v>9</v>
      </c>
      <c r="T407" t="str">
        <f>VLOOKUP(C407,Customers!$A:$B,2,0)</f>
        <v>Zomato Pvt Ltd</v>
      </c>
    </row>
    <row r="408" spans="1:20">
      <c r="A408" t="s">
        <v>495</v>
      </c>
      <c r="B408" s="1">
        <v>45470</v>
      </c>
      <c r="C408" t="s">
        <v>73</v>
      </c>
      <c r="D408" t="s">
        <v>40</v>
      </c>
      <c r="E408" t="s">
        <v>41</v>
      </c>
      <c r="F408">
        <v>3</v>
      </c>
      <c r="G408">
        <v>89250</v>
      </c>
      <c r="H408">
        <v>45000</v>
      </c>
      <c r="I408">
        <v>44250</v>
      </c>
      <c r="J408">
        <v>15</v>
      </c>
      <c r="K408" t="s">
        <v>25</v>
      </c>
      <c r="L408" t="s">
        <v>26</v>
      </c>
      <c r="M408" t="s">
        <v>59</v>
      </c>
      <c r="N408">
        <v>3</v>
      </c>
      <c r="O408">
        <f t="shared" si="24"/>
        <v>49.58</v>
      </c>
      <c r="P408">
        <f t="shared" si="25"/>
        <v>29750</v>
      </c>
      <c r="Q408" t="str">
        <f>VLOOKUP(C408,Customers!$A:$D,3,0)</f>
        <v>West</v>
      </c>
      <c r="R408" t="str">
        <f t="shared" si="26"/>
        <v>June</v>
      </c>
      <c r="S408">
        <f t="shared" si="27"/>
        <v>6</v>
      </c>
      <c r="T408" t="str">
        <f>VLOOKUP(C408,Customers!$A:$B,2,0)</f>
        <v>ICICI Tech</v>
      </c>
    </row>
    <row r="409" spans="1:20">
      <c r="A409" t="s">
        <v>496</v>
      </c>
      <c r="B409" s="1">
        <v>45295</v>
      </c>
      <c r="C409" t="s">
        <v>49</v>
      </c>
      <c r="D409" t="s">
        <v>44</v>
      </c>
      <c r="E409" t="s">
        <v>45</v>
      </c>
      <c r="F409">
        <v>5</v>
      </c>
      <c r="G409">
        <v>1190000</v>
      </c>
      <c r="H409">
        <v>600000</v>
      </c>
      <c r="I409">
        <v>590000</v>
      </c>
      <c r="J409">
        <v>15</v>
      </c>
      <c r="K409" t="s">
        <v>25</v>
      </c>
      <c r="L409" t="s">
        <v>26</v>
      </c>
      <c r="M409" t="s">
        <v>37</v>
      </c>
      <c r="N409">
        <v>12</v>
      </c>
      <c r="O409">
        <f t="shared" si="24"/>
        <v>49.58</v>
      </c>
      <c r="P409">
        <f t="shared" si="25"/>
        <v>238000</v>
      </c>
      <c r="Q409" t="str">
        <f>VLOOKUP(C409,Customers!$A:$D,3,0)</f>
        <v>South</v>
      </c>
      <c r="R409" t="str">
        <f t="shared" si="26"/>
        <v>January</v>
      </c>
      <c r="S409">
        <f t="shared" si="27"/>
        <v>1</v>
      </c>
      <c r="T409" t="str">
        <f>VLOOKUP(C409,Customers!$A:$B,2,0)</f>
        <v>Myntra Fashion</v>
      </c>
    </row>
    <row r="410" spans="1:20">
      <c r="A410" t="s">
        <v>497</v>
      </c>
      <c r="B410" s="1">
        <v>45570</v>
      </c>
      <c r="C410" t="s">
        <v>104</v>
      </c>
      <c r="D410" t="s">
        <v>50</v>
      </c>
      <c r="E410" t="s">
        <v>17</v>
      </c>
      <c r="F410">
        <v>3</v>
      </c>
      <c r="G410">
        <v>120000</v>
      </c>
      <c r="H410">
        <v>60000</v>
      </c>
      <c r="I410">
        <v>60000</v>
      </c>
      <c r="J410">
        <v>20</v>
      </c>
      <c r="K410" t="s">
        <v>30</v>
      </c>
      <c r="L410" t="s">
        <v>97</v>
      </c>
      <c r="M410" t="s">
        <v>37</v>
      </c>
      <c r="N410">
        <v>6</v>
      </c>
      <c r="O410">
        <f t="shared" si="24"/>
        <v>50</v>
      </c>
      <c r="P410">
        <f t="shared" si="25"/>
        <v>40000</v>
      </c>
      <c r="Q410" t="str">
        <f>VLOOKUP(C410,Customers!$A:$D,3,0)</f>
        <v>South</v>
      </c>
      <c r="R410" t="str">
        <f t="shared" si="26"/>
        <v>October</v>
      </c>
      <c r="S410">
        <f t="shared" si="27"/>
        <v>10</v>
      </c>
      <c r="T410" t="str">
        <f>VLOOKUP(C410,Customers!$A:$B,2,0)</f>
        <v>Ola Cabs</v>
      </c>
    </row>
    <row r="411" spans="1:20">
      <c r="A411" t="s">
        <v>498</v>
      </c>
      <c r="B411" s="1">
        <v>45368</v>
      </c>
      <c r="C411" t="s">
        <v>65</v>
      </c>
      <c r="D411" t="s">
        <v>86</v>
      </c>
      <c r="E411" t="s">
        <v>24</v>
      </c>
      <c r="F411">
        <v>5</v>
      </c>
      <c r="G411">
        <v>665000</v>
      </c>
      <c r="H411">
        <v>300000</v>
      </c>
      <c r="I411">
        <v>365000</v>
      </c>
      <c r="J411">
        <v>5</v>
      </c>
      <c r="K411" t="s">
        <v>18</v>
      </c>
      <c r="L411" t="s">
        <v>70</v>
      </c>
      <c r="M411" t="s">
        <v>32</v>
      </c>
      <c r="N411">
        <v>3</v>
      </c>
      <c r="O411">
        <f t="shared" si="24"/>
        <v>54.89</v>
      </c>
      <c r="P411">
        <f t="shared" si="25"/>
        <v>133000</v>
      </c>
      <c r="Q411" t="str">
        <f>VLOOKUP(C411,Customers!$A:$D,3,0)</f>
        <v>North</v>
      </c>
      <c r="R411" t="str">
        <f t="shared" si="26"/>
        <v>March</v>
      </c>
      <c r="S411">
        <f t="shared" si="27"/>
        <v>3</v>
      </c>
      <c r="T411" t="str">
        <f>VLOOKUP(C411,Customers!$A:$B,2,0)</f>
        <v>Zomato Pvt Ltd</v>
      </c>
    </row>
    <row r="412" spans="1:20">
      <c r="A412" t="s">
        <v>499</v>
      </c>
      <c r="B412" s="1">
        <v>45627</v>
      </c>
      <c r="C412" t="s">
        <v>173</v>
      </c>
      <c r="D412" t="s">
        <v>50</v>
      </c>
      <c r="E412" t="s">
        <v>17</v>
      </c>
      <c r="F412">
        <v>4</v>
      </c>
      <c r="G412">
        <v>190000</v>
      </c>
      <c r="H412">
        <v>80000</v>
      </c>
      <c r="I412">
        <v>110000</v>
      </c>
      <c r="J412">
        <v>5</v>
      </c>
      <c r="K412" t="s">
        <v>30</v>
      </c>
      <c r="L412" t="s">
        <v>31</v>
      </c>
      <c r="M412" t="s">
        <v>20</v>
      </c>
      <c r="N412">
        <v>6</v>
      </c>
      <c r="O412">
        <f t="shared" si="24"/>
        <v>57.89</v>
      </c>
      <c r="P412">
        <f t="shared" si="25"/>
        <v>47500</v>
      </c>
      <c r="Q412" t="str">
        <f>VLOOKUP(C412,Customers!$A:$D,3,0)</f>
        <v>South</v>
      </c>
      <c r="R412" t="str">
        <f t="shared" si="26"/>
        <v>December</v>
      </c>
      <c r="S412">
        <f t="shared" si="27"/>
        <v>12</v>
      </c>
      <c r="T412" t="str">
        <f>VLOOKUP(C412,Customers!$A:$B,2,0)</f>
        <v>Byju's Learning</v>
      </c>
    </row>
    <row r="413" spans="1:20">
      <c r="A413" t="s">
        <v>500</v>
      </c>
      <c r="B413" s="1">
        <v>45467</v>
      </c>
      <c r="C413" t="s">
        <v>65</v>
      </c>
      <c r="D413" t="s">
        <v>53</v>
      </c>
      <c r="E413" t="s">
        <v>54</v>
      </c>
      <c r="F413">
        <v>4</v>
      </c>
      <c r="G413">
        <v>680000</v>
      </c>
      <c r="H413">
        <v>340000</v>
      </c>
      <c r="I413">
        <v>340000</v>
      </c>
      <c r="J413">
        <v>15</v>
      </c>
      <c r="K413" t="s">
        <v>30</v>
      </c>
      <c r="L413" t="s">
        <v>63</v>
      </c>
      <c r="M413" t="s">
        <v>37</v>
      </c>
      <c r="N413">
        <v>6</v>
      </c>
      <c r="O413">
        <f t="shared" si="24"/>
        <v>50</v>
      </c>
      <c r="P413">
        <f t="shared" si="25"/>
        <v>170000</v>
      </c>
      <c r="Q413" t="str">
        <f>VLOOKUP(C413,Customers!$A:$D,3,0)</f>
        <v>North</v>
      </c>
      <c r="R413" t="str">
        <f t="shared" si="26"/>
        <v>June</v>
      </c>
      <c r="S413">
        <f t="shared" si="27"/>
        <v>6</v>
      </c>
      <c r="T413" t="str">
        <f>VLOOKUP(C413,Customers!$A:$B,2,0)</f>
        <v>Zomato Pvt Ltd</v>
      </c>
    </row>
    <row r="414" spans="1:20">
      <c r="A414" t="s">
        <v>501</v>
      </c>
      <c r="B414" s="1">
        <v>45628</v>
      </c>
      <c r="C414" t="s">
        <v>122</v>
      </c>
      <c r="D414" t="s">
        <v>119</v>
      </c>
      <c r="E414" t="s">
        <v>36</v>
      </c>
      <c r="F414">
        <v>1</v>
      </c>
      <c r="G414">
        <v>95000</v>
      </c>
      <c r="H414">
        <v>45000</v>
      </c>
      <c r="I414">
        <v>50000</v>
      </c>
      <c r="J414">
        <v>5</v>
      </c>
      <c r="K414" t="s">
        <v>30</v>
      </c>
      <c r="L414" t="s">
        <v>97</v>
      </c>
      <c r="M414" t="s">
        <v>20</v>
      </c>
      <c r="N414">
        <v>6</v>
      </c>
      <c r="O414">
        <f t="shared" si="24"/>
        <v>52.63</v>
      </c>
      <c r="P414">
        <f t="shared" si="25"/>
        <v>95000</v>
      </c>
      <c r="Q414" t="str">
        <f>VLOOKUP(C414,Customers!$A:$D,3,0)</f>
        <v>West</v>
      </c>
      <c r="R414" t="str">
        <f t="shared" si="26"/>
        <v>December</v>
      </c>
      <c r="S414">
        <f t="shared" si="27"/>
        <v>12</v>
      </c>
      <c r="T414" t="str">
        <f>VLOOKUP(C414,Customers!$A:$B,2,0)</f>
        <v>HDFC Bank</v>
      </c>
    </row>
    <row r="415" spans="1:20">
      <c r="A415" t="s">
        <v>502</v>
      </c>
      <c r="B415" s="1">
        <v>45640</v>
      </c>
      <c r="C415" t="s">
        <v>158</v>
      </c>
      <c r="D415" t="s">
        <v>23</v>
      </c>
      <c r="E415" t="s">
        <v>24</v>
      </c>
      <c r="F415">
        <v>2</v>
      </c>
      <c r="G415">
        <v>228000</v>
      </c>
      <c r="H415">
        <v>100000</v>
      </c>
      <c r="I415">
        <v>128000</v>
      </c>
      <c r="J415">
        <v>5</v>
      </c>
      <c r="K415" t="s">
        <v>30</v>
      </c>
      <c r="L415" t="s">
        <v>97</v>
      </c>
      <c r="M415" t="s">
        <v>59</v>
      </c>
      <c r="N415">
        <v>12</v>
      </c>
      <c r="O415">
        <f t="shared" si="24"/>
        <v>56.14</v>
      </c>
      <c r="P415">
        <f t="shared" si="25"/>
        <v>114000</v>
      </c>
      <c r="Q415" t="str">
        <f>VLOOKUP(C415,Customers!$A:$D,3,0)</f>
        <v>West</v>
      </c>
      <c r="R415" t="str">
        <f t="shared" si="26"/>
        <v>December</v>
      </c>
      <c r="S415">
        <f t="shared" si="27"/>
        <v>12</v>
      </c>
      <c r="T415" t="str">
        <f>VLOOKUP(C415,Customers!$A:$B,2,0)</f>
        <v>Tanishq Retail</v>
      </c>
    </row>
    <row r="416" spans="1:20">
      <c r="A416" t="s">
        <v>503</v>
      </c>
      <c r="B416" s="1">
        <v>45599</v>
      </c>
      <c r="C416" t="s">
        <v>79</v>
      </c>
      <c r="D416" t="s">
        <v>69</v>
      </c>
      <c r="E416" t="s">
        <v>62</v>
      </c>
      <c r="F416">
        <v>4</v>
      </c>
      <c r="G416">
        <v>380000</v>
      </c>
      <c r="H416">
        <v>160000</v>
      </c>
      <c r="I416">
        <v>220000</v>
      </c>
      <c r="J416">
        <v>0</v>
      </c>
      <c r="K416" t="s">
        <v>18</v>
      </c>
      <c r="L416" t="s">
        <v>26</v>
      </c>
      <c r="M416" t="s">
        <v>20</v>
      </c>
      <c r="N416">
        <v>3</v>
      </c>
      <c r="O416">
        <f t="shared" si="24"/>
        <v>57.89</v>
      </c>
      <c r="P416">
        <f t="shared" si="25"/>
        <v>95000</v>
      </c>
      <c r="Q416" t="str">
        <f>VLOOKUP(C416,Customers!$A:$D,3,0)</f>
        <v>West</v>
      </c>
      <c r="R416" t="str">
        <f t="shared" si="26"/>
        <v>November</v>
      </c>
      <c r="S416">
        <f t="shared" si="27"/>
        <v>11</v>
      </c>
      <c r="T416" t="str">
        <f>VLOOKUP(C416,Customers!$A:$B,2,0)</f>
        <v>Dream11 Sports</v>
      </c>
    </row>
    <row r="417" spans="1:20">
      <c r="A417" t="s">
        <v>504</v>
      </c>
      <c r="B417" s="1">
        <v>45533</v>
      </c>
      <c r="C417" t="s">
        <v>124</v>
      </c>
      <c r="D417" t="s">
        <v>69</v>
      </c>
      <c r="E417" t="s">
        <v>62</v>
      </c>
      <c r="F417">
        <v>4</v>
      </c>
      <c r="G417">
        <v>342000</v>
      </c>
      <c r="H417">
        <v>160000</v>
      </c>
      <c r="I417">
        <v>182000</v>
      </c>
      <c r="J417">
        <v>10</v>
      </c>
      <c r="K417" t="s">
        <v>30</v>
      </c>
      <c r="L417" t="s">
        <v>95</v>
      </c>
      <c r="M417" t="s">
        <v>27</v>
      </c>
      <c r="N417">
        <v>6</v>
      </c>
      <c r="O417">
        <f t="shared" si="24"/>
        <v>53.22</v>
      </c>
      <c r="P417">
        <f t="shared" si="25"/>
        <v>85500</v>
      </c>
      <c r="Q417" t="str">
        <f>VLOOKUP(C417,Customers!$A:$D,3,0)</f>
        <v>South</v>
      </c>
      <c r="R417" t="str">
        <f t="shared" si="26"/>
        <v>August</v>
      </c>
      <c r="S417">
        <f t="shared" si="27"/>
        <v>8</v>
      </c>
      <c r="T417" t="str">
        <f>VLOOKUP(C417,Customers!$A:$B,2,0)</f>
        <v>Zerodha Capital</v>
      </c>
    </row>
    <row r="418" spans="1:20">
      <c r="A418" t="s">
        <v>505</v>
      </c>
      <c r="B418" s="1">
        <v>45362</v>
      </c>
      <c r="C418" t="s">
        <v>104</v>
      </c>
      <c r="D418" t="s">
        <v>89</v>
      </c>
      <c r="E418" t="s">
        <v>45</v>
      </c>
      <c r="F418">
        <v>5</v>
      </c>
      <c r="G418">
        <v>760000</v>
      </c>
      <c r="H418">
        <v>350000</v>
      </c>
      <c r="I418">
        <v>410000</v>
      </c>
      <c r="J418">
        <v>5</v>
      </c>
      <c r="K418" t="s">
        <v>30</v>
      </c>
      <c r="L418" t="s">
        <v>70</v>
      </c>
      <c r="M418" t="s">
        <v>32</v>
      </c>
      <c r="N418">
        <v>3</v>
      </c>
      <c r="O418">
        <f t="shared" si="24"/>
        <v>53.95</v>
      </c>
      <c r="P418">
        <f t="shared" si="25"/>
        <v>152000</v>
      </c>
      <c r="Q418" t="str">
        <f>VLOOKUP(C418,Customers!$A:$D,3,0)</f>
        <v>South</v>
      </c>
      <c r="R418" t="str">
        <f t="shared" si="26"/>
        <v>March</v>
      </c>
      <c r="S418">
        <f t="shared" si="27"/>
        <v>3</v>
      </c>
      <c r="T418" t="str">
        <f>VLOOKUP(C418,Customers!$A:$B,2,0)</f>
        <v>Ola Cabs</v>
      </c>
    </row>
    <row r="419" spans="1:20">
      <c r="A419" t="s">
        <v>506</v>
      </c>
      <c r="B419" s="1">
        <v>45541</v>
      </c>
      <c r="C419" t="s">
        <v>122</v>
      </c>
      <c r="D419" t="s">
        <v>35</v>
      </c>
      <c r="E419" t="s">
        <v>36</v>
      </c>
      <c r="F419">
        <v>1</v>
      </c>
      <c r="G419">
        <v>65000</v>
      </c>
      <c r="H419">
        <v>28000</v>
      </c>
      <c r="I419">
        <v>37000</v>
      </c>
      <c r="J419">
        <v>0</v>
      </c>
      <c r="K419" t="s">
        <v>30</v>
      </c>
      <c r="L419" t="s">
        <v>97</v>
      </c>
      <c r="M419" t="s">
        <v>32</v>
      </c>
      <c r="N419">
        <v>6</v>
      </c>
      <c r="O419">
        <f t="shared" si="24"/>
        <v>56.92</v>
      </c>
      <c r="P419">
        <f t="shared" si="25"/>
        <v>65000</v>
      </c>
      <c r="Q419" t="str">
        <f>VLOOKUP(C419,Customers!$A:$D,3,0)</f>
        <v>West</v>
      </c>
      <c r="R419" t="str">
        <f t="shared" si="26"/>
        <v>September</v>
      </c>
      <c r="S419">
        <f t="shared" si="27"/>
        <v>9</v>
      </c>
      <c r="T419" t="str">
        <f>VLOOKUP(C419,Customers!$A:$B,2,0)</f>
        <v>HDFC Bank</v>
      </c>
    </row>
    <row r="420" spans="1:20">
      <c r="A420" t="s">
        <v>507</v>
      </c>
      <c r="B420" s="1">
        <v>45587</v>
      </c>
      <c r="C420" t="s">
        <v>133</v>
      </c>
      <c r="D420" t="s">
        <v>23</v>
      </c>
      <c r="E420" t="s">
        <v>24</v>
      </c>
      <c r="F420">
        <v>2</v>
      </c>
      <c r="G420">
        <v>216000</v>
      </c>
      <c r="H420">
        <v>100000</v>
      </c>
      <c r="I420">
        <v>116000</v>
      </c>
      <c r="J420">
        <v>10</v>
      </c>
      <c r="K420" t="s">
        <v>30</v>
      </c>
      <c r="L420" t="s">
        <v>95</v>
      </c>
      <c r="M420" t="s">
        <v>59</v>
      </c>
      <c r="N420">
        <v>24</v>
      </c>
      <c r="O420">
        <f t="shared" si="24"/>
        <v>53.7</v>
      </c>
      <c r="P420">
        <f t="shared" si="25"/>
        <v>108000</v>
      </c>
      <c r="Q420" t="str">
        <f>VLOOKUP(C420,Customers!$A:$D,3,0)</f>
        <v>South</v>
      </c>
      <c r="R420" t="str">
        <f t="shared" si="26"/>
        <v>October</v>
      </c>
      <c r="S420">
        <f t="shared" si="27"/>
        <v>10</v>
      </c>
      <c r="T420" t="str">
        <f>VLOOKUP(C420,Customers!$A:$B,2,0)</f>
        <v>Razorpay Tech</v>
      </c>
    </row>
    <row r="421" spans="1:20">
      <c r="A421" t="s">
        <v>508</v>
      </c>
      <c r="B421" s="1">
        <v>45536</v>
      </c>
      <c r="C421" t="s">
        <v>99</v>
      </c>
      <c r="D421" t="s">
        <v>53</v>
      </c>
      <c r="E421" t="s">
        <v>54</v>
      </c>
      <c r="F421">
        <v>2</v>
      </c>
      <c r="G421">
        <v>340000</v>
      </c>
      <c r="H421">
        <v>170000</v>
      </c>
      <c r="I421">
        <v>170000</v>
      </c>
      <c r="J421">
        <v>15</v>
      </c>
      <c r="K421" t="s">
        <v>30</v>
      </c>
      <c r="L421" t="s">
        <v>31</v>
      </c>
      <c r="M421" t="s">
        <v>37</v>
      </c>
      <c r="N421">
        <v>6</v>
      </c>
      <c r="O421">
        <f t="shared" si="24"/>
        <v>50</v>
      </c>
      <c r="P421">
        <f t="shared" si="25"/>
        <v>170000</v>
      </c>
      <c r="Q421" t="str">
        <f>VLOOKUP(C421,Customers!$A:$D,3,0)</f>
        <v>West</v>
      </c>
      <c r="R421" t="str">
        <f t="shared" si="26"/>
        <v>September</v>
      </c>
      <c r="S421">
        <f t="shared" si="27"/>
        <v>9</v>
      </c>
      <c r="T421" t="str">
        <f>VLOOKUP(C421,Customers!$A:$B,2,0)</f>
        <v>Tata Consultancy</v>
      </c>
    </row>
    <row r="422" spans="1:20">
      <c r="A422" t="s">
        <v>509</v>
      </c>
      <c r="B422" s="1">
        <v>45301</v>
      </c>
      <c r="C422" t="s">
        <v>158</v>
      </c>
      <c r="D422" t="s">
        <v>16</v>
      </c>
      <c r="E422" t="s">
        <v>17</v>
      </c>
      <c r="F422">
        <v>2</v>
      </c>
      <c r="G422">
        <v>119000</v>
      </c>
      <c r="H422">
        <v>60000</v>
      </c>
      <c r="I422">
        <v>59000</v>
      </c>
      <c r="J422">
        <v>15</v>
      </c>
      <c r="K422" t="s">
        <v>30</v>
      </c>
      <c r="L422" t="s">
        <v>97</v>
      </c>
      <c r="M422" t="s">
        <v>32</v>
      </c>
      <c r="N422">
        <v>3</v>
      </c>
      <c r="O422">
        <f t="shared" si="24"/>
        <v>49.58</v>
      </c>
      <c r="P422">
        <f t="shared" si="25"/>
        <v>59500</v>
      </c>
      <c r="Q422" t="str">
        <f>VLOOKUP(C422,Customers!$A:$D,3,0)</f>
        <v>West</v>
      </c>
      <c r="R422" t="str">
        <f t="shared" si="26"/>
        <v>January</v>
      </c>
      <c r="S422">
        <f t="shared" si="27"/>
        <v>1</v>
      </c>
      <c r="T422" t="str">
        <f>VLOOKUP(C422,Customers!$A:$B,2,0)</f>
        <v>Tanishq Retail</v>
      </c>
    </row>
    <row r="423" spans="1:20">
      <c r="A423" t="s">
        <v>510</v>
      </c>
      <c r="B423" s="1">
        <v>45488</v>
      </c>
      <c r="C423" t="s">
        <v>173</v>
      </c>
      <c r="D423" t="s">
        <v>101</v>
      </c>
      <c r="E423" t="s">
        <v>62</v>
      </c>
      <c r="F423">
        <v>1</v>
      </c>
      <c r="G423">
        <v>64000</v>
      </c>
      <c r="H423">
        <v>35000</v>
      </c>
      <c r="I423">
        <v>29000</v>
      </c>
      <c r="J423">
        <v>20</v>
      </c>
      <c r="K423" t="s">
        <v>30</v>
      </c>
      <c r="L423" t="s">
        <v>97</v>
      </c>
      <c r="M423" t="s">
        <v>37</v>
      </c>
      <c r="N423">
        <v>24</v>
      </c>
      <c r="O423">
        <f t="shared" si="24"/>
        <v>45.31</v>
      </c>
      <c r="P423">
        <f t="shared" si="25"/>
        <v>64000</v>
      </c>
      <c r="Q423" t="str">
        <f>VLOOKUP(C423,Customers!$A:$D,3,0)</f>
        <v>South</v>
      </c>
      <c r="R423" t="str">
        <f t="shared" si="26"/>
        <v>July</v>
      </c>
      <c r="S423">
        <f t="shared" si="27"/>
        <v>7</v>
      </c>
      <c r="T423" t="str">
        <f>VLOOKUP(C423,Customers!$A:$B,2,0)</f>
        <v>Byju's Learning</v>
      </c>
    </row>
    <row r="424" spans="1:20">
      <c r="A424" t="s">
        <v>511</v>
      </c>
      <c r="B424" s="1">
        <v>45558</v>
      </c>
      <c r="C424" t="s">
        <v>104</v>
      </c>
      <c r="D424" t="s">
        <v>89</v>
      </c>
      <c r="E424" t="s">
        <v>45</v>
      </c>
      <c r="F424">
        <v>2</v>
      </c>
      <c r="G424">
        <v>304000</v>
      </c>
      <c r="H424">
        <v>140000</v>
      </c>
      <c r="I424">
        <v>164000</v>
      </c>
      <c r="J424">
        <v>5</v>
      </c>
      <c r="K424" t="s">
        <v>30</v>
      </c>
      <c r="L424" t="s">
        <v>70</v>
      </c>
      <c r="M424" t="s">
        <v>32</v>
      </c>
      <c r="N424">
        <v>6</v>
      </c>
      <c r="O424">
        <f t="shared" si="24"/>
        <v>53.95</v>
      </c>
      <c r="P424">
        <f t="shared" si="25"/>
        <v>152000</v>
      </c>
      <c r="Q424" t="str">
        <f>VLOOKUP(C424,Customers!$A:$D,3,0)</f>
        <v>South</v>
      </c>
      <c r="R424" t="str">
        <f t="shared" si="26"/>
        <v>September</v>
      </c>
      <c r="S424">
        <f t="shared" si="27"/>
        <v>9</v>
      </c>
      <c r="T424" t="str">
        <f>VLOOKUP(C424,Customers!$A:$B,2,0)</f>
        <v>Ola Cabs</v>
      </c>
    </row>
    <row r="425" spans="1:20">
      <c r="A425" t="s">
        <v>512</v>
      </c>
      <c r="B425" s="1">
        <v>45590</v>
      </c>
      <c r="C425" t="s">
        <v>39</v>
      </c>
      <c r="D425" t="s">
        <v>61</v>
      </c>
      <c r="E425" t="s">
        <v>62</v>
      </c>
      <c r="F425">
        <v>2</v>
      </c>
      <c r="G425">
        <v>374000</v>
      </c>
      <c r="H425">
        <v>180000</v>
      </c>
      <c r="I425">
        <v>194000</v>
      </c>
      <c r="J425">
        <v>15</v>
      </c>
      <c r="K425" t="s">
        <v>30</v>
      </c>
      <c r="L425" t="s">
        <v>26</v>
      </c>
      <c r="M425" t="s">
        <v>20</v>
      </c>
      <c r="N425">
        <v>6</v>
      </c>
      <c r="O425">
        <f t="shared" si="24"/>
        <v>51.87</v>
      </c>
      <c r="P425">
        <f t="shared" si="25"/>
        <v>187000</v>
      </c>
      <c r="Q425" t="str">
        <f>VLOOKUP(C425,Customers!$A:$D,3,0)</f>
        <v>North</v>
      </c>
      <c r="R425" t="str">
        <f t="shared" si="26"/>
        <v>October</v>
      </c>
      <c r="S425">
        <f t="shared" si="27"/>
        <v>10</v>
      </c>
      <c r="T425" t="str">
        <f>VLOOKUP(C425,Customers!$A:$B,2,0)</f>
        <v>Amazon India</v>
      </c>
    </row>
    <row r="426" spans="1:20">
      <c r="A426" t="s">
        <v>513</v>
      </c>
      <c r="B426" s="1">
        <v>45355</v>
      </c>
      <c r="C426" t="s">
        <v>158</v>
      </c>
      <c r="D426" t="s">
        <v>86</v>
      </c>
      <c r="E426" t="s">
        <v>24</v>
      </c>
      <c r="F426">
        <v>4</v>
      </c>
      <c r="G426">
        <v>476000</v>
      </c>
      <c r="H426">
        <v>240000</v>
      </c>
      <c r="I426">
        <v>236000</v>
      </c>
      <c r="J426">
        <v>15</v>
      </c>
      <c r="K426" t="s">
        <v>30</v>
      </c>
      <c r="L426" t="s">
        <v>63</v>
      </c>
      <c r="M426" t="s">
        <v>20</v>
      </c>
      <c r="N426">
        <v>3</v>
      </c>
      <c r="O426">
        <f t="shared" si="24"/>
        <v>49.58</v>
      </c>
      <c r="P426">
        <f t="shared" si="25"/>
        <v>119000</v>
      </c>
      <c r="Q426" t="str">
        <f>VLOOKUP(C426,Customers!$A:$D,3,0)</f>
        <v>West</v>
      </c>
      <c r="R426" t="str">
        <f t="shared" si="26"/>
        <v>March</v>
      </c>
      <c r="S426">
        <f t="shared" si="27"/>
        <v>3</v>
      </c>
      <c r="T426" t="str">
        <f>VLOOKUP(C426,Customers!$A:$B,2,0)</f>
        <v>Tanishq Retail</v>
      </c>
    </row>
    <row r="427" spans="1:20">
      <c r="A427" t="s">
        <v>514</v>
      </c>
      <c r="B427" s="1">
        <v>45596</v>
      </c>
      <c r="C427" t="s">
        <v>49</v>
      </c>
      <c r="D427" t="s">
        <v>69</v>
      </c>
      <c r="E427" t="s">
        <v>62</v>
      </c>
      <c r="F427">
        <v>1</v>
      </c>
      <c r="G427">
        <v>95000</v>
      </c>
      <c r="H427">
        <v>40000</v>
      </c>
      <c r="I427">
        <v>55000</v>
      </c>
      <c r="J427">
        <v>0</v>
      </c>
      <c r="K427" t="s">
        <v>18</v>
      </c>
      <c r="L427" t="s">
        <v>19</v>
      </c>
      <c r="M427" t="s">
        <v>59</v>
      </c>
      <c r="N427">
        <v>24</v>
      </c>
      <c r="O427">
        <f t="shared" si="24"/>
        <v>57.89</v>
      </c>
      <c r="P427">
        <f t="shared" si="25"/>
        <v>95000</v>
      </c>
      <c r="Q427" t="str">
        <f>VLOOKUP(C427,Customers!$A:$D,3,0)</f>
        <v>South</v>
      </c>
      <c r="R427" t="str">
        <f t="shared" si="26"/>
        <v>October</v>
      </c>
      <c r="S427">
        <f t="shared" si="27"/>
        <v>10</v>
      </c>
      <c r="T427" t="str">
        <f>VLOOKUP(C427,Customers!$A:$B,2,0)</f>
        <v>Myntra Fashion</v>
      </c>
    </row>
    <row r="428" spans="1:20">
      <c r="A428" t="s">
        <v>515</v>
      </c>
      <c r="B428" s="1">
        <v>45594</v>
      </c>
      <c r="C428" t="s">
        <v>133</v>
      </c>
      <c r="D428" t="s">
        <v>61</v>
      </c>
      <c r="E428" t="s">
        <v>62</v>
      </c>
      <c r="F428">
        <v>2</v>
      </c>
      <c r="G428">
        <v>374000</v>
      </c>
      <c r="H428">
        <v>180000</v>
      </c>
      <c r="I428">
        <v>194000</v>
      </c>
      <c r="J428">
        <v>15</v>
      </c>
      <c r="K428" t="s">
        <v>18</v>
      </c>
      <c r="L428" t="s">
        <v>31</v>
      </c>
      <c r="M428" t="s">
        <v>37</v>
      </c>
      <c r="N428">
        <v>24</v>
      </c>
      <c r="O428">
        <f t="shared" si="24"/>
        <v>51.87</v>
      </c>
      <c r="P428">
        <f t="shared" si="25"/>
        <v>187000</v>
      </c>
      <c r="Q428" t="str">
        <f>VLOOKUP(C428,Customers!$A:$D,3,0)</f>
        <v>South</v>
      </c>
      <c r="R428" t="str">
        <f t="shared" si="26"/>
        <v>October</v>
      </c>
      <c r="S428">
        <f t="shared" si="27"/>
        <v>10</v>
      </c>
      <c r="T428" t="str">
        <f>VLOOKUP(C428,Customers!$A:$B,2,0)</f>
        <v>Razorpay Tech</v>
      </c>
    </row>
    <row r="429" spans="1:20">
      <c r="A429" t="s">
        <v>516</v>
      </c>
      <c r="B429" s="1">
        <v>45628</v>
      </c>
      <c r="C429" t="s">
        <v>15</v>
      </c>
      <c r="D429" t="s">
        <v>67</v>
      </c>
      <c r="E429" t="s">
        <v>54</v>
      </c>
      <c r="F429">
        <v>5</v>
      </c>
      <c r="G429">
        <v>374000</v>
      </c>
      <c r="H429">
        <v>190000</v>
      </c>
      <c r="I429">
        <v>184000</v>
      </c>
      <c r="J429">
        <v>15</v>
      </c>
      <c r="K429" t="s">
        <v>30</v>
      </c>
      <c r="L429" t="s">
        <v>95</v>
      </c>
      <c r="M429" t="s">
        <v>27</v>
      </c>
      <c r="N429">
        <v>3</v>
      </c>
      <c r="O429">
        <f t="shared" si="24"/>
        <v>49.2</v>
      </c>
      <c r="P429">
        <f t="shared" si="25"/>
        <v>74800</v>
      </c>
      <c r="Q429" t="str">
        <f>VLOOKUP(C429,Customers!$A:$D,3,0)</f>
        <v>South</v>
      </c>
      <c r="R429" t="str">
        <f t="shared" si="26"/>
        <v>December</v>
      </c>
      <c r="S429">
        <f t="shared" si="27"/>
        <v>12</v>
      </c>
      <c r="T429" t="str">
        <f>VLOOKUP(C429,Customers!$A:$B,2,0)</f>
        <v>Swiggy Inc</v>
      </c>
    </row>
    <row r="430" spans="1:20">
      <c r="A430" t="s">
        <v>517</v>
      </c>
      <c r="B430" s="1">
        <v>45575</v>
      </c>
      <c r="C430" t="s">
        <v>133</v>
      </c>
      <c r="D430" t="s">
        <v>57</v>
      </c>
      <c r="E430" t="s">
        <v>17</v>
      </c>
      <c r="F430">
        <v>5</v>
      </c>
      <c r="G430">
        <v>300000</v>
      </c>
      <c r="H430">
        <v>125000</v>
      </c>
      <c r="I430">
        <v>175000</v>
      </c>
      <c r="J430">
        <v>0</v>
      </c>
      <c r="K430" t="s">
        <v>30</v>
      </c>
      <c r="L430" t="s">
        <v>63</v>
      </c>
      <c r="M430" t="s">
        <v>32</v>
      </c>
      <c r="N430">
        <v>12</v>
      </c>
      <c r="O430">
        <f t="shared" si="24"/>
        <v>58.33</v>
      </c>
      <c r="P430">
        <f t="shared" si="25"/>
        <v>60000</v>
      </c>
      <c r="Q430" t="str">
        <f>VLOOKUP(C430,Customers!$A:$D,3,0)</f>
        <v>South</v>
      </c>
      <c r="R430" t="str">
        <f t="shared" si="26"/>
        <v>October</v>
      </c>
      <c r="S430">
        <f t="shared" si="27"/>
        <v>10</v>
      </c>
      <c r="T430" t="str">
        <f>VLOOKUP(C430,Customers!$A:$B,2,0)</f>
        <v>Razorpay Tech</v>
      </c>
    </row>
    <row r="431" spans="1:20">
      <c r="A431" t="s">
        <v>518</v>
      </c>
      <c r="B431" s="1">
        <v>45652</v>
      </c>
      <c r="C431" t="s">
        <v>122</v>
      </c>
      <c r="D431" t="s">
        <v>86</v>
      </c>
      <c r="E431" t="s">
        <v>24</v>
      </c>
      <c r="F431">
        <v>5</v>
      </c>
      <c r="G431">
        <v>665000</v>
      </c>
      <c r="H431">
        <v>300000</v>
      </c>
      <c r="I431">
        <v>365000</v>
      </c>
      <c r="J431">
        <v>5</v>
      </c>
      <c r="K431" t="s">
        <v>30</v>
      </c>
      <c r="L431" t="s">
        <v>47</v>
      </c>
      <c r="M431" t="s">
        <v>37</v>
      </c>
      <c r="N431">
        <v>6</v>
      </c>
      <c r="O431">
        <f t="shared" si="24"/>
        <v>54.89</v>
      </c>
      <c r="P431">
        <f t="shared" si="25"/>
        <v>133000</v>
      </c>
      <c r="Q431" t="str">
        <f>VLOOKUP(C431,Customers!$A:$D,3,0)</f>
        <v>West</v>
      </c>
      <c r="R431" t="str">
        <f t="shared" si="26"/>
        <v>December</v>
      </c>
      <c r="S431">
        <f t="shared" si="27"/>
        <v>12</v>
      </c>
      <c r="T431" t="str">
        <f>VLOOKUP(C431,Customers!$A:$B,2,0)</f>
        <v>HDFC Bank</v>
      </c>
    </row>
    <row r="432" spans="1:20">
      <c r="A432" t="s">
        <v>519</v>
      </c>
      <c r="B432" s="1">
        <v>45573</v>
      </c>
      <c r="C432" t="s">
        <v>136</v>
      </c>
      <c r="D432" t="s">
        <v>69</v>
      </c>
      <c r="E432" t="s">
        <v>62</v>
      </c>
      <c r="F432">
        <v>5</v>
      </c>
      <c r="G432">
        <v>403750</v>
      </c>
      <c r="H432">
        <v>200000</v>
      </c>
      <c r="I432">
        <v>203750</v>
      </c>
      <c r="J432">
        <v>15</v>
      </c>
      <c r="K432" t="s">
        <v>30</v>
      </c>
      <c r="L432" t="s">
        <v>51</v>
      </c>
      <c r="M432" t="s">
        <v>27</v>
      </c>
      <c r="N432">
        <v>3</v>
      </c>
      <c r="O432">
        <f t="shared" si="24"/>
        <v>50.46</v>
      </c>
      <c r="P432">
        <f t="shared" si="25"/>
        <v>80750</v>
      </c>
      <c r="Q432" t="str">
        <f>VLOOKUP(C432,Customers!$A:$D,3,0)</f>
        <v>North</v>
      </c>
      <c r="R432" t="str">
        <f t="shared" si="26"/>
        <v>October</v>
      </c>
      <c r="S432">
        <f t="shared" si="27"/>
        <v>10</v>
      </c>
      <c r="T432" t="str">
        <f>VLOOKUP(C432,Customers!$A:$B,2,0)</f>
        <v>BharatPe</v>
      </c>
    </row>
    <row r="433" spans="1:20">
      <c r="A433" t="s">
        <v>520</v>
      </c>
      <c r="B433" s="1">
        <v>45343</v>
      </c>
      <c r="C433" t="s">
        <v>158</v>
      </c>
      <c r="D433" t="s">
        <v>16</v>
      </c>
      <c r="E433" t="s">
        <v>17</v>
      </c>
      <c r="F433">
        <v>4</v>
      </c>
      <c r="G433">
        <v>266000</v>
      </c>
      <c r="H433">
        <v>120000</v>
      </c>
      <c r="I433">
        <v>146000</v>
      </c>
      <c r="J433">
        <v>5</v>
      </c>
      <c r="K433" t="s">
        <v>30</v>
      </c>
      <c r="L433" t="s">
        <v>47</v>
      </c>
      <c r="M433" t="s">
        <v>27</v>
      </c>
      <c r="N433">
        <v>3</v>
      </c>
      <c r="O433">
        <f t="shared" si="24"/>
        <v>54.89</v>
      </c>
      <c r="P433">
        <f t="shared" si="25"/>
        <v>66500</v>
      </c>
      <c r="Q433" t="str">
        <f>VLOOKUP(C433,Customers!$A:$D,3,0)</f>
        <v>West</v>
      </c>
      <c r="R433" t="str">
        <f t="shared" si="26"/>
        <v>February</v>
      </c>
      <c r="S433">
        <f t="shared" si="27"/>
        <v>2</v>
      </c>
      <c r="T433" t="str">
        <f>VLOOKUP(C433,Customers!$A:$B,2,0)</f>
        <v>Tanishq Retail</v>
      </c>
    </row>
    <row r="434" spans="1:20">
      <c r="A434" t="s">
        <v>521</v>
      </c>
      <c r="B434" s="1">
        <v>45381</v>
      </c>
      <c r="C434" t="s">
        <v>43</v>
      </c>
      <c r="D434" t="s">
        <v>119</v>
      </c>
      <c r="E434" t="s">
        <v>36</v>
      </c>
      <c r="F434">
        <v>3</v>
      </c>
      <c r="G434">
        <v>240000</v>
      </c>
      <c r="H434">
        <v>135000</v>
      </c>
      <c r="I434">
        <v>105000</v>
      </c>
      <c r="J434">
        <v>20</v>
      </c>
      <c r="K434" t="s">
        <v>18</v>
      </c>
      <c r="L434" t="s">
        <v>70</v>
      </c>
      <c r="M434" t="s">
        <v>59</v>
      </c>
      <c r="N434">
        <v>3</v>
      </c>
      <c r="O434">
        <f t="shared" si="24"/>
        <v>43.75</v>
      </c>
      <c r="P434">
        <f t="shared" si="25"/>
        <v>80000</v>
      </c>
      <c r="Q434" t="str">
        <f>VLOOKUP(C434,Customers!$A:$D,3,0)</f>
        <v>South</v>
      </c>
      <c r="R434" t="str">
        <f t="shared" si="26"/>
        <v>March</v>
      </c>
      <c r="S434">
        <f t="shared" si="27"/>
        <v>3</v>
      </c>
      <c r="T434" t="str">
        <f>VLOOKUP(C434,Customers!$A:$B,2,0)</f>
        <v>Groww Invest</v>
      </c>
    </row>
    <row r="435" spans="1:20">
      <c r="A435" t="s">
        <v>522</v>
      </c>
      <c r="B435" s="1">
        <v>45340</v>
      </c>
      <c r="C435" t="s">
        <v>94</v>
      </c>
      <c r="D435" t="s">
        <v>86</v>
      </c>
      <c r="E435" t="s">
        <v>24</v>
      </c>
      <c r="F435">
        <v>1</v>
      </c>
      <c r="G435">
        <v>112000</v>
      </c>
      <c r="H435">
        <v>60000</v>
      </c>
      <c r="I435">
        <v>52000</v>
      </c>
      <c r="J435">
        <v>20</v>
      </c>
      <c r="K435" t="s">
        <v>30</v>
      </c>
      <c r="L435" t="s">
        <v>51</v>
      </c>
      <c r="M435" t="s">
        <v>37</v>
      </c>
      <c r="N435">
        <v>12</v>
      </c>
      <c r="O435">
        <f t="shared" si="24"/>
        <v>46.43</v>
      </c>
      <c r="P435">
        <f t="shared" si="25"/>
        <v>112000</v>
      </c>
      <c r="Q435" t="str">
        <f>VLOOKUP(C435,Customers!$A:$D,3,0)</f>
        <v>South</v>
      </c>
      <c r="R435" t="str">
        <f t="shared" si="26"/>
        <v>February</v>
      </c>
      <c r="S435">
        <f t="shared" si="27"/>
        <v>2</v>
      </c>
      <c r="T435" t="str">
        <f>VLOOKUP(C435,Customers!$A:$B,2,0)</f>
        <v>PhonePe Pay</v>
      </c>
    </row>
    <row r="436" spans="1:20">
      <c r="A436" t="s">
        <v>523</v>
      </c>
      <c r="B436" s="1">
        <v>45516</v>
      </c>
      <c r="C436" t="s">
        <v>15</v>
      </c>
      <c r="D436" t="s">
        <v>23</v>
      </c>
      <c r="E436" t="s">
        <v>24</v>
      </c>
      <c r="F436">
        <v>3</v>
      </c>
      <c r="G436">
        <v>288000</v>
      </c>
      <c r="H436">
        <v>150000</v>
      </c>
      <c r="I436">
        <v>138000</v>
      </c>
      <c r="J436">
        <v>20</v>
      </c>
      <c r="K436" t="s">
        <v>30</v>
      </c>
      <c r="L436" t="s">
        <v>51</v>
      </c>
      <c r="M436" t="s">
        <v>27</v>
      </c>
      <c r="N436">
        <v>24</v>
      </c>
      <c r="O436">
        <f t="shared" si="24"/>
        <v>47.92</v>
      </c>
      <c r="P436">
        <f t="shared" si="25"/>
        <v>96000</v>
      </c>
      <c r="Q436" t="str">
        <f>VLOOKUP(C436,Customers!$A:$D,3,0)</f>
        <v>South</v>
      </c>
      <c r="R436" t="str">
        <f t="shared" si="26"/>
        <v>August</v>
      </c>
      <c r="S436">
        <f t="shared" si="27"/>
        <v>8</v>
      </c>
      <c r="T436" t="str">
        <f>VLOOKUP(C436,Customers!$A:$B,2,0)</f>
        <v>Swiggy Inc</v>
      </c>
    </row>
    <row r="437" spans="1:20">
      <c r="A437" t="s">
        <v>524</v>
      </c>
      <c r="B437" s="1">
        <v>45496</v>
      </c>
      <c r="C437" t="s">
        <v>15</v>
      </c>
      <c r="D437" t="s">
        <v>154</v>
      </c>
      <c r="E437" t="s">
        <v>45</v>
      </c>
      <c r="F437">
        <v>4</v>
      </c>
      <c r="G437">
        <v>416000</v>
      </c>
      <c r="H437">
        <v>220000</v>
      </c>
      <c r="I437">
        <v>196000</v>
      </c>
      <c r="J437">
        <v>20</v>
      </c>
      <c r="K437" t="s">
        <v>30</v>
      </c>
      <c r="L437" t="s">
        <v>51</v>
      </c>
      <c r="M437" t="s">
        <v>27</v>
      </c>
      <c r="N437">
        <v>6</v>
      </c>
      <c r="O437">
        <f t="shared" si="24"/>
        <v>47.12</v>
      </c>
      <c r="P437">
        <f t="shared" si="25"/>
        <v>104000</v>
      </c>
      <c r="Q437" t="str">
        <f>VLOOKUP(C437,Customers!$A:$D,3,0)</f>
        <v>South</v>
      </c>
      <c r="R437" t="str">
        <f t="shared" si="26"/>
        <v>July</v>
      </c>
      <c r="S437">
        <f t="shared" si="27"/>
        <v>7</v>
      </c>
      <c r="T437" t="str">
        <f>VLOOKUP(C437,Customers!$A:$B,2,0)</f>
        <v>Swiggy Inc</v>
      </c>
    </row>
    <row r="438" spans="1:20">
      <c r="A438" t="s">
        <v>525</v>
      </c>
      <c r="B438" s="1">
        <v>45648</v>
      </c>
      <c r="C438" t="s">
        <v>43</v>
      </c>
      <c r="D438" t="s">
        <v>101</v>
      </c>
      <c r="E438" t="s">
        <v>62</v>
      </c>
      <c r="F438">
        <v>1</v>
      </c>
      <c r="G438">
        <v>76000</v>
      </c>
      <c r="H438">
        <v>35000</v>
      </c>
      <c r="I438">
        <v>41000</v>
      </c>
      <c r="J438">
        <v>5</v>
      </c>
      <c r="K438" t="s">
        <v>25</v>
      </c>
      <c r="L438" t="s">
        <v>47</v>
      </c>
      <c r="M438" t="s">
        <v>20</v>
      </c>
      <c r="N438">
        <v>24</v>
      </c>
      <c r="O438">
        <f t="shared" si="24"/>
        <v>53.95</v>
      </c>
      <c r="P438">
        <f t="shared" si="25"/>
        <v>76000</v>
      </c>
      <c r="Q438" t="str">
        <f>VLOOKUP(C438,Customers!$A:$D,3,0)</f>
        <v>South</v>
      </c>
      <c r="R438" t="str">
        <f t="shared" si="26"/>
        <v>December</v>
      </c>
      <c r="S438">
        <f t="shared" si="27"/>
        <v>12</v>
      </c>
      <c r="T438" t="str">
        <f>VLOOKUP(C438,Customers!$A:$B,2,0)</f>
        <v>Groww Invest</v>
      </c>
    </row>
    <row r="439" spans="1:20">
      <c r="A439" t="s">
        <v>526</v>
      </c>
      <c r="B439" s="1">
        <v>45384</v>
      </c>
      <c r="C439" t="s">
        <v>34</v>
      </c>
      <c r="D439" t="s">
        <v>44</v>
      </c>
      <c r="E439" t="s">
        <v>45</v>
      </c>
      <c r="F439">
        <v>5</v>
      </c>
      <c r="G439">
        <v>1400000</v>
      </c>
      <c r="H439">
        <v>600000</v>
      </c>
      <c r="I439">
        <v>800000</v>
      </c>
      <c r="J439">
        <v>0</v>
      </c>
      <c r="K439" t="s">
        <v>18</v>
      </c>
      <c r="L439" t="s">
        <v>51</v>
      </c>
      <c r="M439" t="s">
        <v>59</v>
      </c>
      <c r="N439">
        <v>24</v>
      </c>
      <c r="O439">
        <f t="shared" si="24"/>
        <v>57.14</v>
      </c>
      <c r="P439">
        <f t="shared" si="25"/>
        <v>280000</v>
      </c>
      <c r="Q439" t="str">
        <f>VLOOKUP(C439,Customers!$A:$D,3,0)</f>
        <v>North</v>
      </c>
      <c r="R439" t="str">
        <f t="shared" si="26"/>
        <v>April</v>
      </c>
      <c r="S439">
        <f t="shared" si="27"/>
        <v>4</v>
      </c>
      <c r="T439" t="str">
        <f>VLOOKUP(C439,Customers!$A:$B,2,0)</f>
        <v>Snapdeal Ltd</v>
      </c>
    </row>
    <row r="440" spans="1:20">
      <c r="A440" t="s">
        <v>527</v>
      </c>
      <c r="B440" s="1">
        <v>45349</v>
      </c>
      <c r="C440" t="s">
        <v>79</v>
      </c>
      <c r="D440" t="s">
        <v>86</v>
      </c>
      <c r="E440" t="s">
        <v>24</v>
      </c>
      <c r="F440">
        <v>1</v>
      </c>
      <c r="G440">
        <v>133000</v>
      </c>
      <c r="H440">
        <v>60000</v>
      </c>
      <c r="I440">
        <v>73000</v>
      </c>
      <c r="J440">
        <v>5</v>
      </c>
      <c r="K440" t="s">
        <v>18</v>
      </c>
      <c r="L440" t="s">
        <v>70</v>
      </c>
      <c r="M440" t="s">
        <v>27</v>
      </c>
      <c r="N440">
        <v>6</v>
      </c>
      <c r="O440">
        <f t="shared" si="24"/>
        <v>54.89</v>
      </c>
      <c r="P440">
        <f t="shared" si="25"/>
        <v>133000</v>
      </c>
      <c r="Q440" t="str">
        <f>VLOOKUP(C440,Customers!$A:$D,3,0)</f>
        <v>West</v>
      </c>
      <c r="R440" t="str">
        <f t="shared" si="26"/>
        <v>February</v>
      </c>
      <c r="S440">
        <f t="shared" si="27"/>
        <v>2</v>
      </c>
      <c r="T440" t="str">
        <f>VLOOKUP(C440,Customers!$A:$B,2,0)</f>
        <v>Dream11 Sports</v>
      </c>
    </row>
    <row r="441" spans="1:20">
      <c r="A441" t="s">
        <v>528</v>
      </c>
      <c r="B441" s="1">
        <v>45634</v>
      </c>
      <c r="C441" t="s">
        <v>124</v>
      </c>
      <c r="D441" t="s">
        <v>80</v>
      </c>
      <c r="E441" t="s">
        <v>41</v>
      </c>
      <c r="F441">
        <v>5</v>
      </c>
      <c r="G441">
        <v>260000</v>
      </c>
      <c r="H441">
        <v>110000</v>
      </c>
      <c r="I441">
        <v>150000</v>
      </c>
      <c r="J441">
        <v>0</v>
      </c>
      <c r="K441" t="s">
        <v>30</v>
      </c>
      <c r="L441" t="s">
        <v>58</v>
      </c>
      <c r="M441" t="s">
        <v>59</v>
      </c>
      <c r="N441">
        <v>12</v>
      </c>
      <c r="O441">
        <f t="shared" si="24"/>
        <v>57.69</v>
      </c>
      <c r="P441">
        <f t="shared" si="25"/>
        <v>52000</v>
      </c>
      <c r="Q441" t="str">
        <f>VLOOKUP(C441,Customers!$A:$D,3,0)</f>
        <v>South</v>
      </c>
      <c r="R441" t="str">
        <f t="shared" si="26"/>
        <v>December</v>
      </c>
      <c r="S441">
        <f t="shared" si="27"/>
        <v>12</v>
      </c>
      <c r="T441" t="str">
        <f>VLOOKUP(C441,Customers!$A:$B,2,0)</f>
        <v>Zerodha Capital</v>
      </c>
    </row>
    <row r="442" spans="1:20">
      <c r="A442" t="s">
        <v>529</v>
      </c>
      <c r="B442" s="1">
        <v>45631</v>
      </c>
      <c r="C442" t="s">
        <v>143</v>
      </c>
      <c r="D442" t="s">
        <v>61</v>
      </c>
      <c r="E442" t="s">
        <v>62</v>
      </c>
      <c r="F442">
        <v>5</v>
      </c>
      <c r="G442">
        <v>990000</v>
      </c>
      <c r="H442">
        <v>450000</v>
      </c>
      <c r="I442">
        <v>540000</v>
      </c>
      <c r="J442">
        <v>10</v>
      </c>
      <c r="K442" t="s">
        <v>30</v>
      </c>
      <c r="L442" t="s">
        <v>31</v>
      </c>
      <c r="M442" t="s">
        <v>32</v>
      </c>
      <c r="N442">
        <v>24</v>
      </c>
      <c r="O442">
        <f t="shared" si="24"/>
        <v>54.55</v>
      </c>
      <c r="P442">
        <f t="shared" si="25"/>
        <v>198000</v>
      </c>
      <c r="Q442" t="str">
        <f>VLOOKUP(C442,Customers!$A:$D,3,0)</f>
        <v>North</v>
      </c>
      <c r="R442" t="str">
        <f t="shared" si="26"/>
        <v>December</v>
      </c>
      <c r="S442">
        <f t="shared" si="27"/>
        <v>12</v>
      </c>
      <c r="T442" t="str">
        <f>VLOOKUP(C442,Customers!$A:$B,2,0)</f>
        <v>Nykaa Fashion</v>
      </c>
    </row>
    <row r="443" spans="1:20">
      <c r="A443" t="s">
        <v>530</v>
      </c>
      <c r="B443" s="1">
        <v>45545</v>
      </c>
      <c r="C443" t="s">
        <v>56</v>
      </c>
      <c r="D443" t="s">
        <v>76</v>
      </c>
      <c r="E443" t="s">
        <v>41</v>
      </c>
      <c r="F443">
        <v>3</v>
      </c>
      <c r="G443">
        <v>126000</v>
      </c>
      <c r="H443">
        <v>54000</v>
      </c>
      <c r="I443">
        <v>72000</v>
      </c>
      <c r="J443">
        <v>0</v>
      </c>
      <c r="K443" t="s">
        <v>30</v>
      </c>
      <c r="L443" t="s">
        <v>97</v>
      </c>
      <c r="M443" t="s">
        <v>27</v>
      </c>
      <c r="N443">
        <v>6</v>
      </c>
      <c r="O443">
        <f t="shared" si="24"/>
        <v>57.14</v>
      </c>
      <c r="P443">
        <f t="shared" si="25"/>
        <v>42000</v>
      </c>
      <c r="Q443" t="str">
        <f>VLOOKUP(C443,Customers!$A:$D,3,0)</f>
        <v>South</v>
      </c>
      <c r="R443" t="str">
        <f t="shared" si="26"/>
        <v>September</v>
      </c>
      <c r="S443">
        <f t="shared" si="27"/>
        <v>9</v>
      </c>
      <c r="T443" t="str">
        <f>VLOOKUP(C443,Customers!$A:$B,2,0)</f>
        <v>Wipro Technologies</v>
      </c>
    </row>
    <row r="444" spans="1:20">
      <c r="A444" t="s">
        <v>531</v>
      </c>
      <c r="B444" s="1">
        <v>45573</v>
      </c>
      <c r="C444" t="s">
        <v>143</v>
      </c>
      <c r="D444" t="s">
        <v>16</v>
      </c>
      <c r="E444" t="s">
        <v>17</v>
      </c>
      <c r="F444">
        <v>1</v>
      </c>
      <c r="G444">
        <v>66500</v>
      </c>
      <c r="H444">
        <v>30000</v>
      </c>
      <c r="I444">
        <v>36500</v>
      </c>
      <c r="J444">
        <v>5</v>
      </c>
      <c r="K444" t="s">
        <v>30</v>
      </c>
      <c r="L444" t="s">
        <v>26</v>
      </c>
      <c r="M444" t="s">
        <v>59</v>
      </c>
      <c r="N444">
        <v>3</v>
      </c>
      <c r="O444">
        <f t="shared" si="24"/>
        <v>54.89</v>
      </c>
      <c r="P444">
        <f t="shared" si="25"/>
        <v>66500</v>
      </c>
      <c r="Q444" t="str">
        <f>VLOOKUP(C444,Customers!$A:$D,3,0)</f>
        <v>North</v>
      </c>
      <c r="R444" t="str">
        <f t="shared" si="26"/>
        <v>October</v>
      </c>
      <c r="S444">
        <f t="shared" si="27"/>
        <v>10</v>
      </c>
      <c r="T444" t="str">
        <f>VLOOKUP(C444,Customers!$A:$B,2,0)</f>
        <v>Nykaa Fashion</v>
      </c>
    </row>
    <row r="445" spans="1:20">
      <c r="A445" t="s">
        <v>532</v>
      </c>
      <c r="B445" s="1">
        <v>45547</v>
      </c>
      <c r="C445" t="s">
        <v>151</v>
      </c>
      <c r="D445" t="s">
        <v>76</v>
      </c>
      <c r="E445" t="s">
        <v>41</v>
      </c>
      <c r="F445">
        <v>1</v>
      </c>
      <c r="G445">
        <v>42000</v>
      </c>
      <c r="H445">
        <v>18000</v>
      </c>
      <c r="I445">
        <v>24000</v>
      </c>
      <c r="J445">
        <v>0</v>
      </c>
      <c r="K445" t="s">
        <v>30</v>
      </c>
      <c r="L445" t="s">
        <v>95</v>
      </c>
      <c r="M445" t="s">
        <v>27</v>
      </c>
      <c r="N445">
        <v>3</v>
      </c>
      <c r="O445">
        <f t="shared" si="24"/>
        <v>57.14</v>
      </c>
      <c r="P445">
        <f t="shared" si="25"/>
        <v>42000</v>
      </c>
      <c r="Q445" t="str">
        <f>VLOOKUP(C445,Customers!$A:$D,3,0)</f>
        <v>North</v>
      </c>
      <c r="R445" t="str">
        <f t="shared" si="26"/>
        <v>September</v>
      </c>
      <c r="S445">
        <f t="shared" si="27"/>
        <v>9</v>
      </c>
      <c r="T445" t="str">
        <f>VLOOKUP(C445,Customers!$A:$B,2,0)</f>
        <v>HCL Systems</v>
      </c>
    </row>
    <row r="446" spans="1:20">
      <c r="A446" t="s">
        <v>533</v>
      </c>
      <c r="B446" s="1">
        <v>45338</v>
      </c>
      <c r="C446" t="s">
        <v>131</v>
      </c>
      <c r="D446" t="s">
        <v>119</v>
      </c>
      <c r="E446" t="s">
        <v>36</v>
      </c>
      <c r="F446">
        <v>5</v>
      </c>
      <c r="G446">
        <v>450000</v>
      </c>
      <c r="H446">
        <v>225000</v>
      </c>
      <c r="I446">
        <v>225000</v>
      </c>
      <c r="J446">
        <v>10</v>
      </c>
      <c r="K446" t="s">
        <v>30</v>
      </c>
      <c r="L446" t="s">
        <v>47</v>
      </c>
      <c r="M446" t="s">
        <v>37</v>
      </c>
      <c r="N446">
        <v>12</v>
      </c>
      <c r="O446">
        <f t="shared" si="24"/>
        <v>50</v>
      </c>
      <c r="P446">
        <f t="shared" si="25"/>
        <v>90000</v>
      </c>
      <c r="Q446" t="str">
        <f>VLOOKUP(C446,Customers!$A:$D,3,0)</f>
        <v>North</v>
      </c>
      <c r="R446" t="str">
        <f t="shared" si="26"/>
        <v>February</v>
      </c>
      <c r="S446">
        <f t="shared" si="27"/>
        <v>2</v>
      </c>
      <c r="T446" t="str">
        <f>VLOOKUP(C446,Customers!$A:$B,2,0)</f>
        <v>Lenskart Vision</v>
      </c>
    </row>
    <row r="447" spans="1:20">
      <c r="A447" t="s">
        <v>534</v>
      </c>
      <c r="B447" s="1">
        <v>45319</v>
      </c>
      <c r="C447" t="s">
        <v>43</v>
      </c>
      <c r="D447" t="s">
        <v>40</v>
      </c>
      <c r="E447" t="s">
        <v>41</v>
      </c>
      <c r="F447">
        <v>3</v>
      </c>
      <c r="G447">
        <v>94500</v>
      </c>
      <c r="H447">
        <v>45000</v>
      </c>
      <c r="I447">
        <v>49500</v>
      </c>
      <c r="J447">
        <v>10</v>
      </c>
      <c r="K447" t="s">
        <v>25</v>
      </c>
      <c r="L447" t="s">
        <v>26</v>
      </c>
      <c r="M447" t="s">
        <v>59</v>
      </c>
      <c r="N447">
        <v>12</v>
      </c>
      <c r="O447">
        <f t="shared" si="24"/>
        <v>52.38</v>
      </c>
      <c r="P447">
        <f t="shared" si="25"/>
        <v>31500</v>
      </c>
      <c r="Q447" t="str">
        <f>VLOOKUP(C447,Customers!$A:$D,3,0)</f>
        <v>South</v>
      </c>
      <c r="R447" t="str">
        <f t="shared" si="26"/>
        <v>January</v>
      </c>
      <c r="S447">
        <f t="shared" si="27"/>
        <v>1</v>
      </c>
      <c r="T447" t="str">
        <f>VLOOKUP(C447,Customers!$A:$B,2,0)</f>
        <v>Groww Invest</v>
      </c>
    </row>
    <row r="448" spans="1:20">
      <c r="A448" t="s">
        <v>535</v>
      </c>
      <c r="B448" s="1">
        <v>45646</v>
      </c>
      <c r="C448" t="s">
        <v>65</v>
      </c>
      <c r="D448" t="s">
        <v>92</v>
      </c>
      <c r="E448" t="s">
        <v>24</v>
      </c>
      <c r="F448">
        <v>3</v>
      </c>
      <c r="G448">
        <v>513000</v>
      </c>
      <c r="H448">
        <v>240000</v>
      </c>
      <c r="I448">
        <v>273000</v>
      </c>
      <c r="J448">
        <v>5</v>
      </c>
      <c r="K448" t="s">
        <v>18</v>
      </c>
      <c r="L448" t="s">
        <v>97</v>
      </c>
      <c r="M448" t="s">
        <v>20</v>
      </c>
      <c r="N448">
        <v>12</v>
      </c>
      <c r="O448">
        <f t="shared" si="24"/>
        <v>53.22</v>
      </c>
      <c r="P448">
        <f t="shared" si="25"/>
        <v>171000</v>
      </c>
      <c r="Q448" t="str">
        <f>VLOOKUP(C448,Customers!$A:$D,3,0)</f>
        <v>North</v>
      </c>
      <c r="R448" t="str">
        <f t="shared" si="26"/>
        <v>December</v>
      </c>
      <c r="S448">
        <f t="shared" si="27"/>
        <v>12</v>
      </c>
      <c r="T448" t="str">
        <f>VLOOKUP(C448,Customers!$A:$B,2,0)</f>
        <v>Zomato Pvt Ltd</v>
      </c>
    </row>
    <row r="449" spans="1:20">
      <c r="A449" t="s">
        <v>536</v>
      </c>
      <c r="B449" s="1">
        <v>45583</v>
      </c>
      <c r="C449" t="s">
        <v>133</v>
      </c>
      <c r="D449" t="s">
        <v>61</v>
      </c>
      <c r="E449" t="s">
        <v>62</v>
      </c>
      <c r="F449">
        <v>4</v>
      </c>
      <c r="G449">
        <v>880000</v>
      </c>
      <c r="H449">
        <v>360000</v>
      </c>
      <c r="I449">
        <v>520000</v>
      </c>
      <c r="J449">
        <v>0</v>
      </c>
      <c r="K449" t="s">
        <v>30</v>
      </c>
      <c r="L449" t="s">
        <v>26</v>
      </c>
      <c r="M449" t="s">
        <v>32</v>
      </c>
      <c r="N449">
        <v>6</v>
      </c>
      <c r="O449">
        <f t="shared" si="24"/>
        <v>59.09</v>
      </c>
      <c r="P449">
        <f t="shared" si="25"/>
        <v>220000</v>
      </c>
      <c r="Q449" t="str">
        <f>VLOOKUP(C449,Customers!$A:$D,3,0)</f>
        <v>South</v>
      </c>
      <c r="R449" t="str">
        <f t="shared" si="26"/>
        <v>October</v>
      </c>
      <c r="S449">
        <f t="shared" si="27"/>
        <v>10</v>
      </c>
      <c r="T449" t="str">
        <f>VLOOKUP(C449,Customers!$A:$B,2,0)</f>
        <v>Razorpay Tech</v>
      </c>
    </row>
    <row r="450" spans="1:20">
      <c r="A450" t="s">
        <v>537</v>
      </c>
      <c r="B450" s="1">
        <v>45353</v>
      </c>
      <c r="C450" t="s">
        <v>143</v>
      </c>
      <c r="D450" t="s">
        <v>57</v>
      </c>
      <c r="E450" t="s">
        <v>17</v>
      </c>
      <c r="F450">
        <v>4</v>
      </c>
      <c r="G450">
        <v>192000</v>
      </c>
      <c r="H450">
        <v>100000</v>
      </c>
      <c r="I450">
        <v>92000</v>
      </c>
      <c r="J450">
        <v>20</v>
      </c>
      <c r="K450" t="s">
        <v>30</v>
      </c>
      <c r="L450" t="s">
        <v>70</v>
      </c>
      <c r="M450" t="s">
        <v>27</v>
      </c>
      <c r="N450">
        <v>24</v>
      </c>
      <c r="O450">
        <f t="shared" si="24"/>
        <v>47.92</v>
      </c>
      <c r="P450">
        <f t="shared" si="25"/>
        <v>48000</v>
      </c>
      <c r="Q450" t="str">
        <f>VLOOKUP(C450,Customers!$A:$D,3,0)</f>
        <v>North</v>
      </c>
      <c r="R450" t="str">
        <f t="shared" si="26"/>
        <v>March</v>
      </c>
      <c r="S450">
        <f t="shared" si="27"/>
        <v>3</v>
      </c>
      <c r="T450" t="str">
        <f>VLOOKUP(C450,Customers!$A:$B,2,0)</f>
        <v>Nykaa Fashion</v>
      </c>
    </row>
    <row r="451" spans="1:20">
      <c r="A451" t="s">
        <v>538</v>
      </c>
      <c r="B451" s="1">
        <v>45315</v>
      </c>
      <c r="C451" t="s">
        <v>139</v>
      </c>
      <c r="D451" t="s">
        <v>82</v>
      </c>
      <c r="E451" t="s">
        <v>54</v>
      </c>
      <c r="F451">
        <v>1</v>
      </c>
      <c r="G451">
        <v>116000</v>
      </c>
      <c r="H451">
        <v>60000</v>
      </c>
      <c r="I451">
        <v>56000</v>
      </c>
      <c r="J451">
        <v>20</v>
      </c>
      <c r="K451" t="s">
        <v>30</v>
      </c>
      <c r="L451" t="s">
        <v>47</v>
      </c>
      <c r="M451" t="s">
        <v>20</v>
      </c>
      <c r="N451">
        <v>6</v>
      </c>
      <c r="O451">
        <f t="shared" ref="O451:O501" si="28">ROUND((I451/G451)*100,2)</f>
        <v>48.28</v>
      </c>
      <c r="P451">
        <f t="shared" ref="P451:P501" si="29">ROUND(G451/F451,2)</f>
        <v>116000</v>
      </c>
      <c r="Q451" t="str">
        <f>VLOOKUP(C451,Customers!$A:$D,3,0)</f>
        <v>North</v>
      </c>
      <c r="R451" t="str">
        <f t="shared" ref="R451:R501" si="30">TEXT(B451,"MMMM")</f>
        <v>January</v>
      </c>
      <c r="S451">
        <f t="shared" ref="S451:S501" si="31">MONTH(B451)</f>
        <v>1</v>
      </c>
      <c r="T451" t="str">
        <f>VLOOKUP(C451,Customers!$A:$B,2,0)</f>
        <v>PolicyBazaar</v>
      </c>
    </row>
    <row r="452" spans="1:20">
      <c r="A452" t="s">
        <v>539</v>
      </c>
      <c r="B452" s="1">
        <v>45656</v>
      </c>
      <c r="C452" t="s">
        <v>99</v>
      </c>
      <c r="D452" t="s">
        <v>53</v>
      </c>
      <c r="E452" t="s">
        <v>54</v>
      </c>
      <c r="F452">
        <v>4</v>
      </c>
      <c r="G452">
        <v>640000</v>
      </c>
      <c r="H452">
        <v>340000</v>
      </c>
      <c r="I452">
        <v>300000</v>
      </c>
      <c r="J452">
        <v>20</v>
      </c>
      <c r="K452" t="s">
        <v>25</v>
      </c>
      <c r="L452" t="s">
        <v>47</v>
      </c>
      <c r="M452" t="s">
        <v>20</v>
      </c>
      <c r="N452">
        <v>6</v>
      </c>
      <c r="O452">
        <f t="shared" si="28"/>
        <v>46.88</v>
      </c>
      <c r="P452">
        <f t="shared" si="29"/>
        <v>160000</v>
      </c>
      <c r="Q452" t="str">
        <f>VLOOKUP(C452,Customers!$A:$D,3,0)</f>
        <v>West</v>
      </c>
      <c r="R452" t="str">
        <f t="shared" si="30"/>
        <v>December</v>
      </c>
      <c r="S452">
        <f t="shared" si="31"/>
        <v>12</v>
      </c>
      <c r="T452" t="str">
        <f>VLOOKUP(C452,Customers!$A:$B,2,0)</f>
        <v>Tata Consultancy</v>
      </c>
    </row>
    <row r="453" spans="1:20">
      <c r="A453" t="s">
        <v>540</v>
      </c>
      <c r="B453" s="1">
        <v>45646</v>
      </c>
      <c r="C453" t="s">
        <v>39</v>
      </c>
      <c r="D453" t="s">
        <v>61</v>
      </c>
      <c r="E453" t="s">
        <v>62</v>
      </c>
      <c r="F453">
        <v>1</v>
      </c>
      <c r="G453">
        <v>209000</v>
      </c>
      <c r="H453">
        <v>90000</v>
      </c>
      <c r="I453">
        <v>119000</v>
      </c>
      <c r="J453">
        <v>5</v>
      </c>
      <c r="K453" t="s">
        <v>18</v>
      </c>
      <c r="L453" t="s">
        <v>26</v>
      </c>
      <c r="M453" t="s">
        <v>20</v>
      </c>
      <c r="N453">
        <v>12</v>
      </c>
      <c r="O453">
        <f t="shared" si="28"/>
        <v>56.94</v>
      </c>
      <c r="P453">
        <f t="shared" si="29"/>
        <v>209000</v>
      </c>
      <c r="Q453" t="str">
        <f>VLOOKUP(C453,Customers!$A:$D,3,0)</f>
        <v>North</v>
      </c>
      <c r="R453" t="str">
        <f t="shared" si="30"/>
        <v>December</v>
      </c>
      <c r="S453">
        <f t="shared" si="31"/>
        <v>12</v>
      </c>
      <c r="T453" t="str">
        <f>VLOOKUP(C453,Customers!$A:$B,2,0)</f>
        <v>Amazon India</v>
      </c>
    </row>
    <row r="454" spans="1:20">
      <c r="A454" t="s">
        <v>541</v>
      </c>
      <c r="B454" s="1">
        <v>45550</v>
      </c>
      <c r="C454" t="s">
        <v>29</v>
      </c>
      <c r="D454" t="s">
        <v>67</v>
      </c>
      <c r="E454" t="s">
        <v>54</v>
      </c>
      <c r="F454">
        <v>2</v>
      </c>
      <c r="G454">
        <v>167200</v>
      </c>
      <c r="H454">
        <v>76000</v>
      </c>
      <c r="I454">
        <v>91200</v>
      </c>
      <c r="J454">
        <v>5</v>
      </c>
      <c r="K454" t="s">
        <v>30</v>
      </c>
      <c r="L454" t="s">
        <v>70</v>
      </c>
      <c r="M454" t="s">
        <v>37</v>
      </c>
      <c r="N454">
        <v>24</v>
      </c>
      <c r="O454">
        <f t="shared" si="28"/>
        <v>54.55</v>
      </c>
      <c r="P454">
        <f t="shared" si="29"/>
        <v>83600</v>
      </c>
      <c r="Q454" t="str">
        <f>VLOOKUP(C454,Customers!$A:$D,3,0)</f>
        <v>South</v>
      </c>
      <c r="R454" t="str">
        <f t="shared" si="30"/>
        <v>September</v>
      </c>
      <c r="S454">
        <f t="shared" si="31"/>
        <v>9</v>
      </c>
      <c r="T454" t="str">
        <f>VLOOKUP(C454,Customers!$A:$B,2,0)</f>
        <v>Meesho Network</v>
      </c>
    </row>
    <row r="455" spans="1:20">
      <c r="A455" t="s">
        <v>542</v>
      </c>
      <c r="B455" s="1">
        <v>45639</v>
      </c>
      <c r="C455" t="s">
        <v>167</v>
      </c>
      <c r="D455" t="s">
        <v>80</v>
      </c>
      <c r="E455" t="s">
        <v>41</v>
      </c>
      <c r="F455">
        <v>3</v>
      </c>
      <c r="G455">
        <v>124800</v>
      </c>
      <c r="H455">
        <v>66000</v>
      </c>
      <c r="I455">
        <v>58800</v>
      </c>
      <c r="J455">
        <v>20</v>
      </c>
      <c r="K455" t="s">
        <v>18</v>
      </c>
      <c r="L455" t="s">
        <v>63</v>
      </c>
      <c r="M455" t="s">
        <v>37</v>
      </c>
      <c r="N455">
        <v>6</v>
      </c>
      <c r="O455">
        <f t="shared" si="28"/>
        <v>47.12</v>
      </c>
      <c r="P455">
        <f t="shared" si="29"/>
        <v>41600</v>
      </c>
      <c r="Q455" t="str">
        <f>VLOOKUP(C455,Customers!$A:$D,3,0)</f>
        <v>South</v>
      </c>
      <c r="R455" t="str">
        <f t="shared" si="30"/>
        <v>December</v>
      </c>
      <c r="S455">
        <f t="shared" si="31"/>
        <v>12</v>
      </c>
      <c r="T455" t="str">
        <f>VLOOKUP(C455,Customers!$A:$B,2,0)</f>
        <v>Flipkart India</v>
      </c>
    </row>
    <row r="456" spans="1:20">
      <c r="A456" t="s">
        <v>543</v>
      </c>
      <c r="B456" s="1">
        <v>45653</v>
      </c>
      <c r="C456" t="s">
        <v>173</v>
      </c>
      <c r="D456" t="s">
        <v>44</v>
      </c>
      <c r="E456" t="s">
        <v>45</v>
      </c>
      <c r="F456">
        <v>2</v>
      </c>
      <c r="G456">
        <v>476000</v>
      </c>
      <c r="H456">
        <v>240000</v>
      </c>
      <c r="I456">
        <v>236000</v>
      </c>
      <c r="J456">
        <v>15</v>
      </c>
      <c r="K456" t="s">
        <v>18</v>
      </c>
      <c r="L456" t="s">
        <v>51</v>
      </c>
      <c r="M456" t="s">
        <v>20</v>
      </c>
      <c r="N456">
        <v>12</v>
      </c>
      <c r="O456">
        <f t="shared" si="28"/>
        <v>49.58</v>
      </c>
      <c r="P456">
        <f t="shared" si="29"/>
        <v>238000</v>
      </c>
      <c r="Q456" t="str">
        <f>VLOOKUP(C456,Customers!$A:$D,3,0)</f>
        <v>South</v>
      </c>
      <c r="R456" t="str">
        <f t="shared" si="30"/>
        <v>December</v>
      </c>
      <c r="S456">
        <f t="shared" si="31"/>
        <v>12</v>
      </c>
      <c r="T456" t="str">
        <f>VLOOKUP(C456,Customers!$A:$B,2,0)</f>
        <v>Byju's Learning</v>
      </c>
    </row>
    <row r="457" spans="1:20">
      <c r="A457" t="s">
        <v>544</v>
      </c>
      <c r="B457" s="1">
        <v>45607</v>
      </c>
      <c r="C457" t="s">
        <v>91</v>
      </c>
      <c r="D457" t="s">
        <v>76</v>
      </c>
      <c r="E457" t="s">
        <v>41</v>
      </c>
      <c r="F457">
        <v>5</v>
      </c>
      <c r="G457">
        <v>189000</v>
      </c>
      <c r="H457">
        <v>90000</v>
      </c>
      <c r="I457">
        <v>99000</v>
      </c>
      <c r="J457">
        <v>10</v>
      </c>
      <c r="K457" t="s">
        <v>18</v>
      </c>
      <c r="L457" t="s">
        <v>95</v>
      </c>
      <c r="M457" t="s">
        <v>20</v>
      </c>
      <c r="N457">
        <v>12</v>
      </c>
      <c r="O457">
        <f t="shared" si="28"/>
        <v>52.38</v>
      </c>
      <c r="P457">
        <f t="shared" si="29"/>
        <v>37800</v>
      </c>
      <c r="Q457" t="str">
        <f>VLOOKUP(C457,Customers!$A:$D,3,0)</f>
        <v>South</v>
      </c>
      <c r="R457" t="str">
        <f t="shared" si="30"/>
        <v>November</v>
      </c>
      <c r="S457">
        <f t="shared" si="31"/>
        <v>11</v>
      </c>
      <c r="T457" t="str">
        <f>VLOOKUP(C457,Customers!$A:$B,2,0)</f>
        <v>CRED Fintech</v>
      </c>
    </row>
    <row r="458" spans="1:20">
      <c r="A458" t="s">
        <v>545</v>
      </c>
      <c r="B458" s="1">
        <v>45508</v>
      </c>
      <c r="C458" t="s">
        <v>124</v>
      </c>
      <c r="D458" t="s">
        <v>69</v>
      </c>
      <c r="E458" t="s">
        <v>62</v>
      </c>
      <c r="F458">
        <v>1</v>
      </c>
      <c r="G458">
        <v>90250</v>
      </c>
      <c r="H458">
        <v>40000</v>
      </c>
      <c r="I458">
        <v>50250</v>
      </c>
      <c r="J458">
        <v>5</v>
      </c>
      <c r="K458" t="s">
        <v>30</v>
      </c>
      <c r="L458" t="s">
        <v>31</v>
      </c>
      <c r="M458" t="s">
        <v>27</v>
      </c>
      <c r="N458">
        <v>6</v>
      </c>
      <c r="O458">
        <f t="shared" si="28"/>
        <v>55.68</v>
      </c>
      <c r="P458">
        <f t="shared" si="29"/>
        <v>90250</v>
      </c>
      <c r="Q458" t="str">
        <f>VLOOKUP(C458,Customers!$A:$D,3,0)</f>
        <v>South</v>
      </c>
      <c r="R458" t="str">
        <f t="shared" si="30"/>
        <v>August</v>
      </c>
      <c r="S458">
        <f t="shared" si="31"/>
        <v>8</v>
      </c>
      <c r="T458" t="str">
        <f>VLOOKUP(C458,Customers!$A:$B,2,0)</f>
        <v>Zerodha Capital</v>
      </c>
    </row>
    <row r="459" spans="1:20">
      <c r="A459" t="s">
        <v>546</v>
      </c>
      <c r="B459" s="1">
        <v>45428</v>
      </c>
      <c r="C459" t="s">
        <v>122</v>
      </c>
      <c r="D459" t="s">
        <v>119</v>
      </c>
      <c r="E459" t="s">
        <v>36</v>
      </c>
      <c r="F459">
        <v>3</v>
      </c>
      <c r="G459">
        <v>300000</v>
      </c>
      <c r="H459">
        <v>135000</v>
      </c>
      <c r="I459">
        <v>165000</v>
      </c>
      <c r="J459">
        <v>0</v>
      </c>
      <c r="K459" t="s">
        <v>30</v>
      </c>
      <c r="L459" t="s">
        <v>97</v>
      </c>
      <c r="M459" t="s">
        <v>32</v>
      </c>
      <c r="N459">
        <v>3</v>
      </c>
      <c r="O459">
        <f t="shared" si="28"/>
        <v>55</v>
      </c>
      <c r="P459">
        <f t="shared" si="29"/>
        <v>100000</v>
      </c>
      <c r="Q459" t="str">
        <f>VLOOKUP(C459,Customers!$A:$D,3,0)</f>
        <v>West</v>
      </c>
      <c r="R459" t="str">
        <f t="shared" si="30"/>
        <v>May</v>
      </c>
      <c r="S459">
        <f t="shared" si="31"/>
        <v>5</v>
      </c>
      <c r="T459" t="str">
        <f>VLOOKUP(C459,Customers!$A:$B,2,0)</f>
        <v>HDFC Bank</v>
      </c>
    </row>
    <row r="460" spans="1:20">
      <c r="A460" t="s">
        <v>547</v>
      </c>
      <c r="B460" s="1">
        <v>45475</v>
      </c>
      <c r="C460" t="s">
        <v>151</v>
      </c>
      <c r="D460" t="s">
        <v>67</v>
      </c>
      <c r="E460" t="s">
        <v>54</v>
      </c>
      <c r="F460">
        <v>5</v>
      </c>
      <c r="G460">
        <v>352000</v>
      </c>
      <c r="H460">
        <v>190000</v>
      </c>
      <c r="I460">
        <v>162000</v>
      </c>
      <c r="J460">
        <v>20</v>
      </c>
      <c r="K460" t="s">
        <v>30</v>
      </c>
      <c r="L460" t="s">
        <v>63</v>
      </c>
      <c r="M460" t="s">
        <v>59</v>
      </c>
      <c r="N460">
        <v>6</v>
      </c>
      <c r="O460">
        <f t="shared" si="28"/>
        <v>46.02</v>
      </c>
      <c r="P460">
        <f t="shared" si="29"/>
        <v>70400</v>
      </c>
      <c r="Q460" t="str">
        <f>VLOOKUP(C460,Customers!$A:$D,3,0)</f>
        <v>North</v>
      </c>
      <c r="R460" t="str">
        <f t="shared" si="30"/>
        <v>July</v>
      </c>
      <c r="S460">
        <f t="shared" si="31"/>
        <v>7</v>
      </c>
      <c r="T460" t="str">
        <f>VLOOKUP(C460,Customers!$A:$B,2,0)</f>
        <v>HCL Systems</v>
      </c>
    </row>
    <row r="461" spans="1:20">
      <c r="A461" t="s">
        <v>548</v>
      </c>
      <c r="B461" s="1">
        <v>45553</v>
      </c>
      <c r="C461" t="s">
        <v>109</v>
      </c>
      <c r="D461" t="s">
        <v>119</v>
      </c>
      <c r="E461" t="s">
        <v>36</v>
      </c>
      <c r="F461">
        <v>1</v>
      </c>
      <c r="G461">
        <v>95000</v>
      </c>
      <c r="H461">
        <v>45000</v>
      </c>
      <c r="I461">
        <v>50000</v>
      </c>
      <c r="J461">
        <v>5</v>
      </c>
      <c r="K461" t="s">
        <v>30</v>
      </c>
      <c r="L461" t="s">
        <v>95</v>
      </c>
      <c r="M461" t="s">
        <v>37</v>
      </c>
      <c r="N461">
        <v>3</v>
      </c>
      <c r="O461">
        <f t="shared" si="28"/>
        <v>52.63</v>
      </c>
      <c r="P461">
        <f t="shared" si="29"/>
        <v>95000</v>
      </c>
      <c r="Q461" t="str">
        <f>VLOOKUP(C461,Customers!$A:$D,3,0)</f>
        <v>North</v>
      </c>
      <c r="R461" t="str">
        <f t="shared" si="30"/>
        <v>September</v>
      </c>
      <c r="S461">
        <f t="shared" si="31"/>
        <v>9</v>
      </c>
      <c r="T461" t="str">
        <f>VLOOKUP(C461,Customers!$A:$B,2,0)</f>
        <v>MakeMyTrip</v>
      </c>
    </row>
    <row r="462" spans="1:20">
      <c r="A462" t="s">
        <v>549</v>
      </c>
      <c r="B462" s="1">
        <v>45298</v>
      </c>
      <c r="C462" t="s">
        <v>73</v>
      </c>
      <c r="D462" t="s">
        <v>67</v>
      </c>
      <c r="E462" t="s">
        <v>54</v>
      </c>
      <c r="F462">
        <v>4</v>
      </c>
      <c r="G462">
        <v>281600</v>
      </c>
      <c r="H462">
        <v>152000</v>
      </c>
      <c r="I462">
        <v>129600</v>
      </c>
      <c r="J462">
        <v>20</v>
      </c>
      <c r="K462" t="s">
        <v>30</v>
      </c>
      <c r="L462" t="s">
        <v>70</v>
      </c>
      <c r="M462" t="s">
        <v>20</v>
      </c>
      <c r="N462">
        <v>6</v>
      </c>
      <c r="O462">
        <f t="shared" si="28"/>
        <v>46.02</v>
      </c>
      <c r="P462">
        <f t="shared" si="29"/>
        <v>70400</v>
      </c>
      <c r="Q462" t="str">
        <f>VLOOKUP(C462,Customers!$A:$D,3,0)</f>
        <v>West</v>
      </c>
      <c r="R462" t="str">
        <f t="shared" si="30"/>
        <v>January</v>
      </c>
      <c r="S462">
        <f t="shared" si="31"/>
        <v>1</v>
      </c>
      <c r="T462" t="str">
        <f>VLOOKUP(C462,Customers!$A:$B,2,0)</f>
        <v>ICICI Tech</v>
      </c>
    </row>
    <row r="463" spans="1:20">
      <c r="A463" t="s">
        <v>550</v>
      </c>
      <c r="B463" s="1">
        <v>45584</v>
      </c>
      <c r="C463" t="s">
        <v>49</v>
      </c>
      <c r="D463" t="s">
        <v>23</v>
      </c>
      <c r="E463" t="s">
        <v>24</v>
      </c>
      <c r="F463">
        <v>2</v>
      </c>
      <c r="G463">
        <v>240000</v>
      </c>
      <c r="H463">
        <v>100000</v>
      </c>
      <c r="I463">
        <v>140000</v>
      </c>
      <c r="J463">
        <v>0</v>
      </c>
      <c r="K463" t="s">
        <v>18</v>
      </c>
      <c r="L463" t="s">
        <v>63</v>
      </c>
      <c r="M463" t="s">
        <v>27</v>
      </c>
      <c r="N463">
        <v>24</v>
      </c>
      <c r="O463">
        <f t="shared" si="28"/>
        <v>58.33</v>
      </c>
      <c r="P463">
        <f t="shared" si="29"/>
        <v>120000</v>
      </c>
      <c r="Q463" t="str">
        <f>VLOOKUP(C463,Customers!$A:$D,3,0)</f>
        <v>South</v>
      </c>
      <c r="R463" t="str">
        <f t="shared" si="30"/>
        <v>October</v>
      </c>
      <c r="S463">
        <f t="shared" si="31"/>
        <v>10</v>
      </c>
      <c r="T463" t="str">
        <f>VLOOKUP(C463,Customers!$A:$B,2,0)</f>
        <v>Myntra Fashion</v>
      </c>
    </row>
    <row r="464" spans="1:20">
      <c r="A464" t="s">
        <v>551</v>
      </c>
      <c r="B464" s="1">
        <v>45312</v>
      </c>
      <c r="C464" t="s">
        <v>91</v>
      </c>
      <c r="D464" t="s">
        <v>50</v>
      </c>
      <c r="E464" t="s">
        <v>17</v>
      </c>
      <c r="F464">
        <v>2</v>
      </c>
      <c r="G464">
        <v>100000</v>
      </c>
      <c r="H464">
        <v>40000</v>
      </c>
      <c r="I464">
        <v>60000</v>
      </c>
      <c r="J464">
        <v>0</v>
      </c>
      <c r="K464" t="s">
        <v>25</v>
      </c>
      <c r="L464" t="s">
        <v>97</v>
      </c>
      <c r="M464" t="s">
        <v>27</v>
      </c>
      <c r="N464">
        <v>12</v>
      </c>
      <c r="O464">
        <f t="shared" si="28"/>
        <v>60</v>
      </c>
      <c r="P464">
        <f t="shared" si="29"/>
        <v>50000</v>
      </c>
      <c r="Q464" t="str">
        <f>VLOOKUP(C464,Customers!$A:$D,3,0)</f>
        <v>South</v>
      </c>
      <c r="R464" t="str">
        <f t="shared" si="30"/>
        <v>January</v>
      </c>
      <c r="S464">
        <f t="shared" si="31"/>
        <v>1</v>
      </c>
      <c r="T464" t="str">
        <f>VLOOKUP(C464,Customers!$A:$B,2,0)</f>
        <v>CRED Fintech</v>
      </c>
    </row>
    <row r="465" spans="1:20">
      <c r="A465" t="s">
        <v>552</v>
      </c>
      <c r="B465" s="1">
        <v>45530</v>
      </c>
      <c r="C465" t="s">
        <v>88</v>
      </c>
      <c r="D465" t="s">
        <v>86</v>
      </c>
      <c r="E465" t="s">
        <v>24</v>
      </c>
      <c r="F465">
        <v>2</v>
      </c>
      <c r="G465">
        <v>266000</v>
      </c>
      <c r="H465">
        <v>120000</v>
      </c>
      <c r="I465">
        <v>146000</v>
      </c>
      <c r="J465">
        <v>5</v>
      </c>
      <c r="K465" t="s">
        <v>25</v>
      </c>
      <c r="L465" t="s">
        <v>31</v>
      </c>
      <c r="M465" t="s">
        <v>20</v>
      </c>
      <c r="N465">
        <v>12</v>
      </c>
      <c r="O465">
        <f t="shared" si="28"/>
        <v>54.89</v>
      </c>
      <c r="P465">
        <f t="shared" si="29"/>
        <v>133000</v>
      </c>
      <c r="Q465" t="str">
        <f>VLOOKUP(C465,Customers!$A:$D,3,0)</f>
        <v>West</v>
      </c>
      <c r="R465" t="str">
        <f t="shared" si="30"/>
        <v>August</v>
      </c>
      <c r="S465">
        <f t="shared" si="31"/>
        <v>8</v>
      </c>
      <c r="T465" t="str">
        <f>VLOOKUP(C465,Customers!$A:$B,2,0)</f>
        <v>Reliance Digital</v>
      </c>
    </row>
    <row r="466" spans="1:20">
      <c r="A466" t="s">
        <v>553</v>
      </c>
      <c r="B466" s="1">
        <v>45543</v>
      </c>
      <c r="C466" t="s">
        <v>91</v>
      </c>
      <c r="D466" t="s">
        <v>44</v>
      </c>
      <c r="E466" t="s">
        <v>45</v>
      </c>
      <c r="F466">
        <v>1</v>
      </c>
      <c r="G466">
        <v>224000</v>
      </c>
      <c r="H466">
        <v>120000</v>
      </c>
      <c r="I466">
        <v>104000</v>
      </c>
      <c r="J466">
        <v>20</v>
      </c>
      <c r="K466" t="s">
        <v>18</v>
      </c>
      <c r="L466" t="s">
        <v>70</v>
      </c>
      <c r="M466" t="s">
        <v>20</v>
      </c>
      <c r="N466">
        <v>6</v>
      </c>
      <c r="O466">
        <f t="shared" si="28"/>
        <v>46.43</v>
      </c>
      <c r="P466">
        <f t="shared" si="29"/>
        <v>224000</v>
      </c>
      <c r="Q466" t="str">
        <f>VLOOKUP(C466,Customers!$A:$D,3,0)</f>
        <v>South</v>
      </c>
      <c r="R466" t="str">
        <f t="shared" si="30"/>
        <v>September</v>
      </c>
      <c r="S466">
        <f t="shared" si="31"/>
        <v>9</v>
      </c>
      <c r="T466" t="str">
        <f>VLOOKUP(C466,Customers!$A:$B,2,0)</f>
        <v>CRED Fintech</v>
      </c>
    </row>
    <row r="467" spans="1:20">
      <c r="A467" t="s">
        <v>554</v>
      </c>
      <c r="B467" s="1">
        <v>45386</v>
      </c>
      <c r="C467" t="s">
        <v>109</v>
      </c>
      <c r="D467" t="s">
        <v>80</v>
      </c>
      <c r="E467" t="s">
        <v>41</v>
      </c>
      <c r="F467">
        <v>2</v>
      </c>
      <c r="G467">
        <v>98800</v>
      </c>
      <c r="H467">
        <v>44000</v>
      </c>
      <c r="I467">
        <v>54800</v>
      </c>
      <c r="J467">
        <v>5</v>
      </c>
      <c r="K467" t="s">
        <v>25</v>
      </c>
      <c r="L467" t="s">
        <v>63</v>
      </c>
      <c r="M467" t="s">
        <v>59</v>
      </c>
      <c r="N467">
        <v>3</v>
      </c>
      <c r="O467">
        <f t="shared" si="28"/>
        <v>55.47</v>
      </c>
      <c r="P467">
        <f t="shared" si="29"/>
        <v>49400</v>
      </c>
      <c r="Q467" t="str">
        <f>VLOOKUP(C467,Customers!$A:$D,3,0)</f>
        <v>North</v>
      </c>
      <c r="R467" t="str">
        <f t="shared" si="30"/>
        <v>April</v>
      </c>
      <c r="S467">
        <f t="shared" si="31"/>
        <v>4</v>
      </c>
      <c r="T467" t="str">
        <f>VLOOKUP(C467,Customers!$A:$B,2,0)</f>
        <v>MakeMyTrip</v>
      </c>
    </row>
    <row r="468" spans="1:20">
      <c r="A468" t="s">
        <v>555</v>
      </c>
      <c r="B468" s="1">
        <v>45589</v>
      </c>
      <c r="C468" t="s">
        <v>49</v>
      </c>
      <c r="D468" t="s">
        <v>35</v>
      </c>
      <c r="E468" t="s">
        <v>36</v>
      </c>
      <c r="F468">
        <v>3</v>
      </c>
      <c r="G468">
        <v>185250</v>
      </c>
      <c r="H468">
        <v>84000</v>
      </c>
      <c r="I468">
        <v>101250</v>
      </c>
      <c r="J468">
        <v>5</v>
      </c>
      <c r="K468" t="s">
        <v>30</v>
      </c>
      <c r="L468" t="s">
        <v>58</v>
      </c>
      <c r="M468" t="s">
        <v>20</v>
      </c>
      <c r="N468">
        <v>24</v>
      </c>
      <c r="O468">
        <f t="shared" si="28"/>
        <v>54.66</v>
      </c>
      <c r="P468">
        <f t="shared" si="29"/>
        <v>61750</v>
      </c>
      <c r="Q468" t="str">
        <f>VLOOKUP(C468,Customers!$A:$D,3,0)</f>
        <v>South</v>
      </c>
      <c r="R468" t="str">
        <f t="shared" si="30"/>
        <v>October</v>
      </c>
      <c r="S468">
        <f t="shared" si="31"/>
        <v>10</v>
      </c>
      <c r="T468" t="str">
        <f>VLOOKUP(C468,Customers!$A:$B,2,0)</f>
        <v>Myntra Fashion</v>
      </c>
    </row>
    <row r="469" spans="1:20">
      <c r="A469" t="s">
        <v>556</v>
      </c>
      <c r="B469" s="1">
        <v>45579</v>
      </c>
      <c r="C469" t="s">
        <v>158</v>
      </c>
      <c r="D469" t="s">
        <v>92</v>
      </c>
      <c r="E469" t="s">
        <v>24</v>
      </c>
      <c r="F469">
        <v>1</v>
      </c>
      <c r="G469">
        <v>153000</v>
      </c>
      <c r="H469">
        <v>80000</v>
      </c>
      <c r="I469">
        <v>73000</v>
      </c>
      <c r="J469">
        <v>15</v>
      </c>
      <c r="K469" t="s">
        <v>30</v>
      </c>
      <c r="L469" t="s">
        <v>47</v>
      </c>
      <c r="M469" t="s">
        <v>32</v>
      </c>
      <c r="N469">
        <v>6</v>
      </c>
      <c r="O469">
        <f t="shared" si="28"/>
        <v>47.71</v>
      </c>
      <c r="P469">
        <f t="shared" si="29"/>
        <v>153000</v>
      </c>
      <c r="Q469" t="str">
        <f>VLOOKUP(C469,Customers!$A:$D,3,0)</f>
        <v>West</v>
      </c>
      <c r="R469" t="str">
        <f t="shared" si="30"/>
        <v>October</v>
      </c>
      <c r="S469">
        <f t="shared" si="31"/>
        <v>10</v>
      </c>
      <c r="T469" t="str">
        <f>VLOOKUP(C469,Customers!$A:$B,2,0)</f>
        <v>Tanishq Retail</v>
      </c>
    </row>
    <row r="470" spans="1:20">
      <c r="A470" t="s">
        <v>557</v>
      </c>
      <c r="B470" s="1">
        <v>45312</v>
      </c>
      <c r="C470" t="s">
        <v>104</v>
      </c>
      <c r="D470" t="s">
        <v>154</v>
      </c>
      <c r="E470" t="s">
        <v>45</v>
      </c>
      <c r="F470">
        <v>1</v>
      </c>
      <c r="G470">
        <v>123500</v>
      </c>
      <c r="H470">
        <v>55000</v>
      </c>
      <c r="I470">
        <v>68500</v>
      </c>
      <c r="J470">
        <v>5</v>
      </c>
      <c r="K470" t="s">
        <v>30</v>
      </c>
      <c r="L470" t="s">
        <v>63</v>
      </c>
      <c r="M470" t="s">
        <v>37</v>
      </c>
      <c r="N470">
        <v>3</v>
      </c>
      <c r="O470">
        <f t="shared" si="28"/>
        <v>55.47</v>
      </c>
      <c r="P470">
        <f t="shared" si="29"/>
        <v>123500</v>
      </c>
      <c r="Q470" t="str">
        <f>VLOOKUP(C470,Customers!$A:$D,3,0)</f>
        <v>South</v>
      </c>
      <c r="R470" t="str">
        <f t="shared" si="30"/>
        <v>January</v>
      </c>
      <c r="S470">
        <f t="shared" si="31"/>
        <v>1</v>
      </c>
      <c r="T470" t="str">
        <f>VLOOKUP(C470,Customers!$A:$B,2,0)</f>
        <v>Ola Cabs</v>
      </c>
    </row>
    <row r="471" spans="1:20">
      <c r="A471" t="s">
        <v>558</v>
      </c>
      <c r="B471" s="1">
        <v>45556</v>
      </c>
      <c r="C471" t="s">
        <v>115</v>
      </c>
      <c r="D471" t="s">
        <v>80</v>
      </c>
      <c r="E471" t="s">
        <v>41</v>
      </c>
      <c r="F471">
        <v>5</v>
      </c>
      <c r="G471">
        <v>247000</v>
      </c>
      <c r="H471">
        <v>110000</v>
      </c>
      <c r="I471">
        <v>137000</v>
      </c>
      <c r="J471">
        <v>5</v>
      </c>
      <c r="K471" t="s">
        <v>30</v>
      </c>
      <c r="L471" t="s">
        <v>31</v>
      </c>
      <c r="M471" t="s">
        <v>37</v>
      </c>
      <c r="N471">
        <v>6</v>
      </c>
      <c r="O471">
        <f t="shared" si="28"/>
        <v>55.47</v>
      </c>
      <c r="P471">
        <f t="shared" si="29"/>
        <v>49400</v>
      </c>
      <c r="Q471" t="str">
        <f>VLOOKUP(C471,Customers!$A:$D,3,0)</f>
        <v>North</v>
      </c>
      <c r="R471" t="str">
        <f t="shared" si="30"/>
        <v>September</v>
      </c>
      <c r="S471">
        <f t="shared" si="31"/>
        <v>9</v>
      </c>
      <c r="T471" t="str">
        <f>VLOOKUP(C471,Customers!$A:$B,2,0)</f>
        <v>Paytm Services</v>
      </c>
    </row>
    <row r="472" spans="1:20">
      <c r="A472" t="s">
        <v>559</v>
      </c>
      <c r="B472" s="1">
        <v>45456</v>
      </c>
      <c r="C472" t="s">
        <v>151</v>
      </c>
      <c r="D472" t="s">
        <v>101</v>
      </c>
      <c r="E472" t="s">
        <v>62</v>
      </c>
      <c r="F472">
        <v>5</v>
      </c>
      <c r="G472">
        <v>360000</v>
      </c>
      <c r="H472">
        <v>175000</v>
      </c>
      <c r="I472">
        <v>185000</v>
      </c>
      <c r="J472">
        <v>10</v>
      </c>
      <c r="K472" t="s">
        <v>30</v>
      </c>
      <c r="L472" t="s">
        <v>19</v>
      </c>
      <c r="M472" t="s">
        <v>32</v>
      </c>
      <c r="N472">
        <v>6</v>
      </c>
      <c r="O472">
        <f t="shared" si="28"/>
        <v>51.39</v>
      </c>
      <c r="P472">
        <f t="shared" si="29"/>
        <v>72000</v>
      </c>
      <c r="Q472" t="str">
        <f>VLOOKUP(C472,Customers!$A:$D,3,0)</f>
        <v>North</v>
      </c>
      <c r="R472" t="str">
        <f t="shared" si="30"/>
        <v>June</v>
      </c>
      <c r="S472">
        <f t="shared" si="31"/>
        <v>6</v>
      </c>
      <c r="T472" t="str">
        <f>VLOOKUP(C472,Customers!$A:$B,2,0)</f>
        <v>HCL Systems</v>
      </c>
    </row>
    <row r="473" spans="1:20">
      <c r="A473" t="s">
        <v>560</v>
      </c>
      <c r="B473" s="1">
        <v>45642</v>
      </c>
      <c r="C473" t="s">
        <v>151</v>
      </c>
      <c r="D473" t="s">
        <v>57</v>
      </c>
      <c r="E473" t="s">
        <v>17</v>
      </c>
      <c r="F473">
        <v>5</v>
      </c>
      <c r="G473">
        <v>240000</v>
      </c>
      <c r="H473">
        <v>125000</v>
      </c>
      <c r="I473">
        <v>115000</v>
      </c>
      <c r="J473">
        <v>20</v>
      </c>
      <c r="K473" t="s">
        <v>18</v>
      </c>
      <c r="L473" t="s">
        <v>95</v>
      </c>
      <c r="M473" t="s">
        <v>27</v>
      </c>
      <c r="N473">
        <v>6</v>
      </c>
      <c r="O473">
        <f t="shared" si="28"/>
        <v>47.92</v>
      </c>
      <c r="P473">
        <f t="shared" si="29"/>
        <v>48000</v>
      </c>
      <c r="Q473" t="str">
        <f>VLOOKUP(C473,Customers!$A:$D,3,0)</f>
        <v>North</v>
      </c>
      <c r="R473" t="str">
        <f t="shared" si="30"/>
        <v>December</v>
      </c>
      <c r="S473">
        <f t="shared" si="31"/>
        <v>12</v>
      </c>
      <c r="T473" t="str">
        <f>VLOOKUP(C473,Customers!$A:$B,2,0)</f>
        <v>HCL Systems</v>
      </c>
    </row>
    <row r="474" spans="1:20">
      <c r="A474" t="s">
        <v>561</v>
      </c>
      <c r="B474" s="1">
        <v>45304</v>
      </c>
      <c r="C474" t="s">
        <v>104</v>
      </c>
      <c r="D474" t="s">
        <v>86</v>
      </c>
      <c r="E474" t="s">
        <v>24</v>
      </c>
      <c r="F474">
        <v>1</v>
      </c>
      <c r="G474">
        <v>140000</v>
      </c>
      <c r="H474">
        <v>60000</v>
      </c>
      <c r="I474">
        <v>80000</v>
      </c>
      <c r="J474">
        <v>0</v>
      </c>
      <c r="K474" t="s">
        <v>30</v>
      </c>
      <c r="L474" t="s">
        <v>51</v>
      </c>
      <c r="M474" t="s">
        <v>37</v>
      </c>
      <c r="N474">
        <v>3</v>
      </c>
      <c r="O474">
        <f t="shared" si="28"/>
        <v>57.14</v>
      </c>
      <c r="P474">
        <f t="shared" si="29"/>
        <v>140000</v>
      </c>
      <c r="Q474" t="str">
        <f>VLOOKUP(C474,Customers!$A:$D,3,0)</f>
        <v>South</v>
      </c>
      <c r="R474" t="str">
        <f t="shared" si="30"/>
        <v>January</v>
      </c>
      <c r="S474">
        <f t="shared" si="31"/>
        <v>1</v>
      </c>
      <c r="T474" t="str">
        <f>VLOOKUP(C474,Customers!$A:$B,2,0)</f>
        <v>Ola Cabs</v>
      </c>
    </row>
    <row r="475" spans="1:20">
      <c r="A475" t="s">
        <v>562</v>
      </c>
      <c r="B475" s="1">
        <v>45586</v>
      </c>
      <c r="C475" t="s">
        <v>136</v>
      </c>
      <c r="D475" t="s">
        <v>50</v>
      </c>
      <c r="E475" t="s">
        <v>17</v>
      </c>
      <c r="F475">
        <v>4</v>
      </c>
      <c r="G475">
        <v>190000</v>
      </c>
      <c r="H475">
        <v>80000</v>
      </c>
      <c r="I475">
        <v>110000</v>
      </c>
      <c r="J475">
        <v>5</v>
      </c>
      <c r="K475" t="s">
        <v>30</v>
      </c>
      <c r="L475" t="s">
        <v>95</v>
      </c>
      <c r="M475" t="s">
        <v>59</v>
      </c>
      <c r="N475">
        <v>12</v>
      </c>
      <c r="O475">
        <f t="shared" si="28"/>
        <v>57.89</v>
      </c>
      <c r="P475">
        <f t="shared" si="29"/>
        <v>47500</v>
      </c>
      <c r="Q475" t="str">
        <f>VLOOKUP(C475,Customers!$A:$D,3,0)</f>
        <v>North</v>
      </c>
      <c r="R475" t="str">
        <f t="shared" si="30"/>
        <v>October</v>
      </c>
      <c r="S475">
        <f t="shared" si="31"/>
        <v>10</v>
      </c>
      <c r="T475" t="str">
        <f>VLOOKUP(C475,Customers!$A:$B,2,0)</f>
        <v>BharatPe</v>
      </c>
    </row>
    <row r="476" spans="1:20">
      <c r="A476" t="s">
        <v>563</v>
      </c>
      <c r="B476" s="1">
        <v>45300</v>
      </c>
      <c r="C476" t="s">
        <v>151</v>
      </c>
      <c r="D476" t="s">
        <v>53</v>
      </c>
      <c r="E476" t="s">
        <v>54</v>
      </c>
      <c r="F476">
        <v>1</v>
      </c>
      <c r="G476">
        <v>170000</v>
      </c>
      <c r="H476">
        <v>85000</v>
      </c>
      <c r="I476">
        <v>85000</v>
      </c>
      <c r="J476">
        <v>15</v>
      </c>
      <c r="K476" t="s">
        <v>18</v>
      </c>
      <c r="L476" t="s">
        <v>26</v>
      </c>
      <c r="M476" t="s">
        <v>27</v>
      </c>
      <c r="N476">
        <v>3</v>
      </c>
      <c r="O476">
        <f t="shared" si="28"/>
        <v>50</v>
      </c>
      <c r="P476">
        <f t="shared" si="29"/>
        <v>170000</v>
      </c>
      <c r="Q476" t="str">
        <f>VLOOKUP(C476,Customers!$A:$D,3,0)</f>
        <v>North</v>
      </c>
      <c r="R476" t="str">
        <f t="shared" si="30"/>
        <v>January</v>
      </c>
      <c r="S476">
        <f t="shared" si="31"/>
        <v>1</v>
      </c>
      <c r="T476" t="str">
        <f>VLOOKUP(C476,Customers!$A:$B,2,0)</f>
        <v>HCL Systems</v>
      </c>
    </row>
    <row r="477" spans="1:20">
      <c r="A477" t="s">
        <v>564</v>
      </c>
      <c r="B477" s="1">
        <v>45650</v>
      </c>
      <c r="C477" t="s">
        <v>115</v>
      </c>
      <c r="D477" t="s">
        <v>80</v>
      </c>
      <c r="E477" t="s">
        <v>41</v>
      </c>
      <c r="F477">
        <v>1</v>
      </c>
      <c r="G477">
        <v>49400</v>
      </c>
      <c r="H477">
        <v>22000</v>
      </c>
      <c r="I477">
        <v>27400</v>
      </c>
      <c r="J477">
        <v>5</v>
      </c>
      <c r="K477" t="s">
        <v>18</v>
      </c>
      <c r="L477" t="s">
        <v>97</v>
      </c>
      <c r="M477" t="s">
        <v>20</v>
      </c>
      <c r="N477">
        <v>3</v>
      </c>
      <c r="O477">
        <f t="shared" si="28"/>
        <v>55.47</v>
      </c>
      <c r="P477">
        <f t="shared" si="29"/>
        <v>49400</v>
      </c>
      <c r="Q477" t="str">
        <f>VLOOKUP(C477,Customers!$A:$D,3,0)</f>
        <v>North</v>
      </c>
      <c r="R477" t="str">
        <f t="shared" si="30"/>
        <v>December</v>
      </c>
      <c r="S477">
        <f t="shared" si="31"/>
        <v>12</v>
      </c>
      <c r="T477" t="str">
        <f>VLOOKUP(C477,Customers!$A:$B,2,0)</f>
        <v>Paytm Services</v>
      </c>
    </row>
    <row r="478" spans="1:20">
      <c r="A478" t="s">
        <v>565</v>
      </c>
      <c r="B478" s="1">
        <v>45436</v>
      </c>
      <c r="C478" t="s">
        <v>79</v>
      </c>
      <c r="D478" t="s">
        <v>154</v>
      </c>
      <c r="E478" t="s">
        <v>45</v>
      </c>
      <c r="F478">
        <v>4</v>
      </c>
      <c r="G478">
        <v>416000</v>
      </c>
      <c r="H478">
        <v>220000</v>
      </c>
      <c r="I478">
        <v>196000</v>
      </c>
      <c r="J478">
        <v>20</v>
      </c>
      <c r="K478" t="s">
        <v>18</v>
      </c>
      <c r="L478" t="s">
        <v>31</v>
      </c>
      <c r="M478" t="s">
        <v>59</v>
      </c>
      <c r="N478">
        <v>6</v>
      </c>
      <c r="O478">
        <f t="shared" si="28"/>
        <v>47.12</v>
      </c>
      <c r="P478">
        <f t="shared" si="29"/>
        <v>104000</v>
      </c>
      <c r="Q478" t="str">
        <f>VLOOKUP(C478,Customers!$A:$D,3,0)</f>
        <v>West</v>
      </c>
      <c r="R478" t="str">
        <f t="shared" si="30"/>
        <v>May</v>
      </c>
      <c r="S478">
        <f t="shared" si="31"/>
        <v>5</v>
      </c>
      <c r="T478" t="str">
        <f>VLOOKUP(C478,Customers!$A:$B,2,0)</f>
        <v>Dream11 Sports</v>
      </c>
    </row>
    <row r="479" spans="1:20">
      <c r="A479" t="s">
        <v>566</v>
      </c>
      <c r="B479" s="1">
        <v>45612</v>
      </c>
      <c r="C479" t="s">
        <v>109</v>
      </c>
      <c r="D479" t="s">
        <v>53</v>
      </c>
      <c r="E479" t="s">
        <v>54</v>
      </c>
      <c r="F479">
        <v>3</v>
      </c>
      <c r="G479">
        <v>510000</v>
      </c>
      <c r="H479">
        <v>255000</v>
      </c>
      <c r="I479">
        <v>255000</v>
      </c>
      <c r="J479">
        <v>15</v>
      </c>
      <c r="K479" t="s">
        <v>30</v>
      </c>
      <c r="L479" t="s">
        <v>97</v>
      </c>
      <c r="M479" t="s">
        <v>37</v>
      </c>
      <c r="N479">
        <v>3</v>
      </c>
      <c r="O479">
        <f t="shared" si="28"/>
        <v>50</v>
      </c>
      <c r="P479">
        <f t="shared" si="29"/>
        <v>170000</v>
      </c>
      <c r="Q479" t="str">
        <f>VLOOKUP(C479,Customers!$A:$D,3,0)</f>
        <v>North</v>
      </c>
      <c r="R479" t="str">
        <f t="shared" si="30"/>
        <v>November</v>
      </c>
      <c r="S479">
        <f t="shared" si="31"/>
        <v>11</v>
      </c>
      <c r="T479" t="str">
        <f>VLOOKUP(C479,Customers!$A:$B,2,0)</f>
        <v>MakeMyTrip</v>
      </c>
    </row>
    <row r="480" spans="1:20">
      <c r="A480" t="s">
        <v>567</v>
      </c>
      <c r="B480" s="1">
        <v>45575</v>
      </c>
      <c r="C480" t="s">
        <v>88</v>
      </c>
      <c r="D480" t="s">
        <v>69</v>
      </c>
      <c r="E480" t="s">
        <v>62</v>
      </c>
      <c r="F480">
        <v>1</v>
      </c>
      <c r="G480">
        <v>95000</v>
      </c>
      <c r="H480">
        <v>40000</v>
      </c>
      <c r="I480">
        <v>55000</v>
      </c>
      <c r="J480">
        <v>0</v>
      </c>
      <c r="K480" t="s">
        <v>25</v>
      </c>
      <c r="L480" t="s">
        <v>26</v>
      </c>
      <c r="M480" t="s">
        <v>59</v>
      </c>
      <c r="N480">
        <v>3</v>
      </c>
      <c r="O480">
        <f t="shared" si="28"/>
        <v>57.89</v>
      </c>
      <c r="P480">
        <f t="shared" si="29"/>
        <v>95000</v>
      </c>
      <c r="Q480" t="str">
        <f>VLOOKUP(C480,Customers!$A:$D,3,0)</f>
        <v>West</v>
      </c>
      <c r="R480" t="str">
        <f t="shared" si="30"/>
        <v>October</v>
      </c>
      <c r="S480">
        <f t="shared" si="31"/>
        <v>10</v>
      </c>
      <c r="T480" t="str">
        <f>VLOOKUP(C480,Customers!$A:$B,2,0)</f>
        <v>Reliance Digital</v>
      </c>
    </row>
    <row r="481" spans="1:20">
      <c r="A481" t="s">
        <v>568</v>
      </c>
      <c r="B481" s="1">
        <v>45656</v>
      </c>
      <c r="C481" t="s">
        <v>94</v>
      </c>
      <c r="D481" t="s">
        <v>44</v>
      </c>
      <c r="E481" t="s">
        <v>45</v>
      </c>
      <c r="F481">
        <v>2</v>
      </c>
      <c r="G481">
        <v>532000</v>
      </c>
      <c r="H481">
        <v>240000</v>
      </c>
      <c r="I481">
        <v>292000</v>
      </c>
      <c r="J481">
        <v>5</v>
      </c>
      <c r="K481" t="s">
        <v>18</v>
      </c>
      <c r="L481" t="s">
        <v>63</v>
      </c>
      <c r="M481" t="s">
        <v>32</v>
      </c>
      <c r="N481">
        <v>6</v>
      </c>
      <c r="O481">
        <f t="shared" si="28"/>
        <v>54.89</v>
      </c>
      <c r="P481">
        <f t="shared" si="29"/>
        <v>266000</v>
      </c>
      <c r="Q481" t="str">
        <f>VLOOKUP(C481,Customers!$A:$D,3,0)</f>
        <v>South</v>
      </c>
      <c r="R481" t="str">
        <f t="shared" si="30"/>
        <v>December</v>
      </c>
      <c r="S481">
        <f t="shared" si="31"/>
        <v>12</v>
      </c>
      <c r="T481" t="str">
        <f>VLOOKUP(C481,Customers!$A:$B,2,0)</f>
        <v>PhonePe Pay</v>
      </c>
    </row>
    <row r="482" spans="1:20">
      <c r="A482" t="s">
        <v>569</v>
      </c>
      <c r="B482" s="1">
        <v>45594</v>
      </c>
      <c r="C482" t="s">
        <v>73</v>
      </c>
      <c r="D482" t="s">
        <v>69</v>
      </c>
      <c r="E482" t="s">
        <v>62</v>
      </c>
      <c r="F482">
        <v>2</v>
      </c>
      <c r="G482">
        <v>161500</v>
      </c>
      <c r="H482">
        <v>80000</v>
      </c>
      <c r="I482">
        <v>81500</v>
      </c>
      <c r="J482">
        <v>15</v>
      </c>
      <c r="K482" t="s">
        <v>25</v>
      </c>
      <c r="L482" t="s">
        <v>31</v>
      </c>
      <c r="M482" t="s">
        <v>20</v>
      </c>
      <c r="N482">
        <v>24</v>
      </c>
      <c r="O482">
        <f t="shared" si="28"/>
        <v>50.46</v>
      </c>
      <c r="P482">
        <f t="shared" si="29"/>
        <v>80750</v>
      </c>
      <c r="Q482" t="str">
        <f>VLOOKUP(C482,Customers!$A:$D,3,0)</f>
        <v>West</v>
      </c>
      <c r="R482" t="str">
        <f t="shared" si="30"/>
        <v>October</v>
      </c>
      <c r="S482">
        <f t="shared" si="31"/>
        <v>10</v>
      </c>
      <c r="T482" t="str">
        <f>VLOOKUP(C482,Customers!$A:$B,2,0)</f>
        <v>ICICI Tech</v>
      </c>
    </row>
    <row r="483" spans="1:20">
      <c r="A483" t="s">
        <v>570</v>
      </c>
      <c r="B483" s="1">
        <v>45622</v>
      </c>
      <c r="C483" t="s">
        <v>173</v>
      </c>
      <c r="D483" t="s">
        <v>23</v>
      </c>
      <c r="E483" t="s">
        <v>24</v>
      </c>
      <c r="F483">
        <v>3</v>
      </c>
      <c r="G483">
        <v>360000</v>
      </c>
      <c r="H483">
        <v>150000</v>
      </c>
      <c r="I483">
        <v>210000</v>
      </c>
      <c r="J483">
        <v>0</v>
      </c>
      <c r="K483" t="s">
        <v>30</v>
      </c>
      <c r="L483" t="s">
        <v>26</v>
      </c>
      <c r="M483" t="s">
        <v>59</v>
      </c>
      <c r="N483">
        <v>12</v>
      </c>
      <c r="O483">
        <f t="shared" si="28"/>
        <v>58.33</v>
      </c>
      <c r="P483">
        <f t="shared" si="29"/>
        <v>120000</v>
      </c>
      <c r="Q483" t="str">
        <f>VLOOKUP(C483,Customers!$A:$D,3,0)</f>
        <v>South</v>
      </c>
      <c r="R483" t="str">
        <f t="shared" si="30"/>
        <v>November</v>
      </c>
      <c r="S483">
        <f t="shared" si="31"/>
        <v>11</v>
      </c>
      <c r="T483" t="str">
        <f>VLOOKUP(C483,Customers!$A:$B,2,0)</f>
        <v>Byju's Learning</v>
      </c>
    </row>
    <row r="484" spans="1:20">
      <c r="A484" t="s">
        <v>571</v>
      </c>
      <c r="B484" s="1">
        <v>45645</v>
      </c>
      <c r="C484" t="s">
        <v>65</v>
      </c>
      <c r="D484" t="s">
        <v>69</v>
      </c>
      <c r="E484" t="s">
        <v>62</v>
      </c>
      <c r="F484">
        <v>3</v>
      </c>
      <c r="G484">
        <v>256500</v>
      </c>
      <c r="H484">
        <v>120000</v>
      </c>
      <c r="I484">
        <v>136500</v>
      </c>
      <c r="J484">
        <v>10</v>
      </c>
      <c r="K484" t="s">
        <v>30</v>
      </c>
      <c r="L484" t="s">
        <v>58</v>
      </c>
      <c r="M484" t="s">
        <v>37</v>
      </c>
      <c r="N484">
        <v>24</v>
      </c>
      <c r="O484">
        <f t="shared" si="28"/>
        <v>53.22</v>
      </c>
      <c r="P484">
        <f t="shared" si="29"/>
        <v>85500</v>
      </c>
      <c r="Q484" t="str">
        <f>VLOOKUP(C484,Customers!$A:$D,3,0)</f>
        <v>North</v>
      </c>
      <c r="R484" t="str">
        <f t="shared" si="30"/>
        <v>December</v>
      </c>
      <c r="S484">
        <f t="shared" si="31"/>
        <v>12</v>
      </c>
      <c r="T484" t="str">
        <f>VLOOKUP(C484,Customers!$A:$B,2,0)</f>
        <v>Zomato Pvt Ltd</v>
      </c>
    </row>
    <row r="485" spans="1:20">
      <c r="A485" t="s">
        <v>572</v>
      </c>
      <c r="B485" s="1">
        <v>45522</v>
      </c>
      <c r="C485" t="s">
        <v>49</v>
      </c>
      <c r="D485" t="s">
        <v>119</v>
      </c>
      <c r="E485" t="s">
        <v>36</v>
      </c>
      <c r="F485">
        <v>5</v>
      </c>
      <c r="G485">
        <v>500000</v>
      </c>
      <c r="H485">
        <v>225000</v>
      </c>
      <c r="I485">
        <v>275000</v>
      </c>
      <c r="J485">
        <v>0</v>
      </c>
      <c r="K485" t="s">
        <v>25</v>
      </c>
      <c r="L485" t="s">
        <v>26</v>
      </c>
      <c r="M485" t="s">
        <v>37</v>
      </c>
      <c r="N485">
        <v>12</v>
      </c>
      <c r="O485">
        <f t="shared" si="28"/>
        <v>55</v>
      </c>
      <c r="P485">
        <f t="shared" si="29"/>
        <v>100000</v>
      </c>
      <c r="Q485" t="str">
        <f>VLOOKUP(C485,Customers!$A:$D,3,0)</f>
        <v>South</v>
      </c>
      <c r="R485" t="str">
        <f t="shared" si="30"/>
        <v>August</v>
      </c>
      <c r="S485">
        <f t="shared" si="31"/>
        <v>8</v>
      </c>
      <c r="T485" t="str">
        <f>VLOOKUP(C485,Customers!$A:$B,2,0)</f>
        <v>Myntra Fashion</v>
      </c>
    </row>
    <row r="486" spans="1:20">
      <c r="A486" t="s">
        <v>573</v>
      </c>
      <c r="B486" s="1">
        <v>45602</v>
      </c>
      <c r="C486" t="s">
        <v>65</v>
      </c>
      <c r="D486" t="s">
        <v>16</v>
      </c>
      <c r="E486" t="s">
        <v>17</v>
      </c>
      <c r="F486">
        <v>4</v>
      </c>
      <c r="G486">
        <v>266000</v>
      </c>
      <c r="H486">
        <v>120000</v>
      </c>
      <c r="I486">
        <v>146000</v>
      </c>
      <c r="J486">
        <v>5</v>
      </c>
      <c r="K486" t="s">
        <v>30</v>
      </c>
      <c r="L486" t="s">
        <v>51</v>
      </c>
      <c r="M486" t="s">
        <v>37</v>
      </c>
      <c r="N486">
        <v>24</v>
      </c>
      <c r="O486">
        <f t="shared" si="28"/>
        <v>54.89</v>
      </c>
      <c r="P486">
        <f t="shared" si="29"/>
        <v>66500</v>
      </c>
      <c r="Q486" t="str">
        <f>VLOOKUP(C486,Customers!$A:$D,3,0)</f>
        <v>North</v>
      </c>
      <c r="R486" t="str">
        <f t="shared" si="30"/>
        <v>November</v>
      </c>
      <c r="S486">
        <f t="shared" si="31"/>
        <v>11</v>
      </c>
      <c r="T486" t="str">
        <f>VLOOKUP(C486,Customers!$A:$B,2,0)</f>
        <v>Zomato Pvt Ltd</v>
      </c>
    </row>
    <row r="487" spans="1:20">
      <c r="A487" t="s">
        <v>574</v>
      </c>
      <c r="B487" s="1">
        <v>45528</v>
      </c>
      <c r="C487" t="s">
        <v>34</v>
      </c>
      <c r="D487" t="s">
        <v>119</v>
      </c>
      <c r="E487" t="s">
        <v>36</v>
      </c>
      <c r="F487">
        <v>4</v>
      </c>
      <c r="G487">
        <v>360000</v>
      </c>
      <c r="H487">
        <v>180000</v>
      </c>
      <c r="I487">
        <v>180000</v>
      </c>
      <c r="J487">
        <v>10</v>
      </c>
      <c r="K487" t="s">
        <v>30</v>
      </c>
      <c r="L487" t="s">
        <v>51</v>
      </c>
      <c r="M487" t="s">
        <v>20</v>
      </c>
      <c r="N487">
        <v>3</v>
      </c>
      <c r="O487">
        <f t="shared" si="28"/>
        <v>50</v>
      </c>
      <c r="P487">
        <f t="shared" si="29"/>
        <v>90000</v>
      </c>
      <c r="Q487" t="str">
        <f>VLOOKUP(C487,Customers!$A:$D,3,0)</f>
        <v>North</v>
      </c>
      <c r="R487" t="str">
        <f t="shared" si="30"/>
        <v>August</v>
      </c>
      <c r="S487">
        <f t="shared" si="31"/>
        <v>8</v>
      </c>
      <c r="T487" t="str">
        <f>VLOOKUP(C487,Customers!$A:$B,2,0)</f>
        <v>Snapdeal Ltd</v>
      </c>
    </row>
    <row r="488" spans="1:20">
      <c r="A488" t="s">
        <v>575</v>
      </c>
      <c r="B488" s="1">
        <v>45435</v>
      </c>
      <c r="C488" t="s">
        <v>88</v>
      </c>
      <c r="D488" t="s">
        <v>53</v>
      </c>
      <c r="E488" t="s">
        <v>54</v>
      </c>
      <c r="F488">
        <v>2</v>
      </c>
      <c r="G488">
        <v>380000</v>
      </c>
      <c r="H488">
        <v>170000</v>
      </c>
      <c r="I488">
        <v>210000</v>
      </c>
      <c r="J488">
        <v>5</v>
      </c>
      <c r="K488" t="s">
        <v>18</v>
      </c>
      <c r="L488" t="s">
        <v>19</v>
      </c>
      <c r="M488" t="s">
        <v>27</v>
      </c>
      <c r="N488">
        <v>3</v>
      </c>
      <c r="O488">
        <f t="shared" si="28"/>
        <v>55.26</v>
      </c>
      <c r="P488">
        <f t="shared" si="29"/>
        <v>190000</v>
      </c>
      <c r="Q488" t="str">
        <f>VLOOKUP(C488,Customers!$A:$D,3,0)</f>
        <v>West</v>
      </c>
      <c r="R488" t="str">
        <f t="shared" si="30"/>
        <v>May</v>
      </c>
      <c r="S488">
        <f t="shared" si="31"/>
        <v>5</v>
      </c>
      <c r="T488" t="str">
        <f>VLOOKUP(C488,Customers!$A:$B,2,0)</f>
        <v>Reliance Digital</v>
      </c>
    </row>
    <row r="489" spans="1:20">
      <c r="A489" t="s">
        <v>576</v>
      </c>
      <c r="B489" s="1">
        <v>45551</v>
      </c>
      <c r="C489" t="s">
        <v>139</v>
      </c>
      <c r="D489" t="s">
        <v>82</v>
      </c>
      <c r="E489" t="s">
        <v>54</v>
      </c>
      <c r="F489">
        <v>5</v>
      </c>
      <c r="G489">
        <v>688750</v>
      </c>
      <c r="H489">
        <v>300000</v>
      </c>
      <c r="I489">
        <v>388750</v>
      </c>
      <c r="J489">
        <v>5</v>
      </c>
      <c r="K489" t="s">
        <v>25</v>
      </c>
      <c r="L489" t="s">
        <v>58</v>
      </c>
      <c r="M489" t="s">
        <v>27</v>
      </c>
      <c r="N489">
        <v>12</v>
      </c>
      <c r="O489">
        <f t="shared" si="28"/>
        <v>56.44</v>
      </c>
      <c r="P489">
        <f t="shared" si="29"/>
        <v>137750</v>
      </c>
      <c r="Q489" t="str">
        <f>VLOOKUP(C489,Customers!$A:$D,3,0)</f>
        <v>North</v>
      </c>
      <c r="R489" t="str">
        <f t="shared" si="30"/>
        <v>September</v>
      </c>
      <c r="S489">
        <f t="shared" si="31"/>
        <v>9</v>
      </c>
      <c r="T489" t="str">
        <f>VLOOKUP(C489,Customers!$A:$B,2,0)</f>
        <v>PolicyBazaar</v>
      </c>
    </row>
    <row r="490" spans="1:20">
      <c r="A490" t="s">
        <v>577</v>
      </c>
      <c r="B490" s="1">
        <v>45570</v>
      </c>
      <c r="C490" t="s">
        <v>91</v>
      </c>
      <c r="D490" t="s">
        <v>76</v>
      </c>
      <c r="E490" t="s">
        <v>41</v>
      </c>
      <c r="F490">
        <v>2</v>
      </c>
      <c r="G490">
        <v>79800</v>
      </c>
      <c r="H490">
        <v>36000</v>
      </c>
      <c r="I490">
        <v>43800</v>
      </c>
      <c r="J490">
        <v>5</v>
      </c>
      <c r="K490" t="s">
        <v>30</v>
      </c>
      <c r="L490" t="s">
        <v>58</v>
      </c>
      <c r="M490" t="s">
        <v>20</v>
      </c>
      <c r="N490">
        <v>12</v>
      </c>
      <c r="O490">
        <f t="shared" si="28"/>
        <v>54.89</v>
      </c>
      <c r="P490">
        <f t="shared" si="29"/>
        <v>39900</v>
      </c>
      <c r="Q490" t="str">
        <f>VLOOKUP(C490,Customers!$A:$D,3,0)</f>
        <v>South</v>
      </c>
      <c r="R490" t="str">
        <f t="shared" si="30"/>
        <v>October</v>
      </c>
      <c r="S490">
        <f t="shared" si="31"/>
        <v>10</v>
      </c>
      <c r="T490" t="str">
        <f>VLOOKUP(C490,Customers!$A:$B,2,0)</f>
        <v>CRED Fintech</v>
      </c>
    </row>
    <row r="491" spans="1:20">
      <c r="A491" t="s">
        <v>578</v>
      </c>
      <c r="B491" s="1">
        <v>45360</v>
      </c>
      <c r="C491" t="s">
        <v>124</v>
      </c>
      <c r="D491" t="s">
        <v>23</v>
      </c>
      <c r="E491" t="s">
        <v>24</v>
      </c>
      <c r="F491">
        <v>4</v>
      </c>
      <c r="G491">
        <v>456000</v>
      </c>
      <c r="H491">
        <v>200000</v>
      </c>
      <c r="I491">
        <v>256000</v>
      </c>
      <c r="J491">
        <v>5</v>
      </c>
      <c r="K491" t="s">
        <v>25</v>
      </c>
      <c r="L491" t="s">
        <v>31</v>
      </c>
      <c r="M491" t="s">
        <v>32</v>
      </c>
      <c r="N491">
        <v>6</v>
      </c>
      <c r="O491">
        <f t="shared" si="28"/>
        <v>56.14</v>
      </c>
      <c r="P491">
        <f t="shared" si="29"/>
        <v>114000</v>
      </c>
      <c r="Q491" t="str">
        <f>VLOOKUP(C491,Customers!$A:$D,3,0)</f>
        <v>South</v>
      </c>
      <c r="R491" t="str">
        <f t="shared" si="30"/>
        <v>March</v>
      </c>
      <c r="S491">
        <f t="shared" si="31"/>
        <v>3</v>
      </c>
      <c r="T491" t="str">
        <f>VLOOKUP(C491,Customers!$A:$B,2,0)</f>
        <v>Zerodha Capital</v>
      </c>
    </row>
    <row r="492" spans="1:20">
      <c r="A492" t="s">
        <v>579</v>
      </c>
      <c r="B492" s="1">
        <v>45582</v>
      </c>
      <c r="C492" t="s">
        <v>122</v>
      </c>
      <c r="D492" t="s">
        <v>82</v>
      </c>
      <c r="E492" t="s">
        <v>54</v>
      </c>
      <c r="F492">
        <v>5</v>
      </c>
      <c r="G492">
        <v>616250</v>
      </c>
      <c r="H492">
        <v>300000</v>
      </c>
      <c r="I492">
        <v>316250</v>
      </c>
      <c r="J492">
        <v>15</v>
      </c>
      <c r="K492" t="s">
        <v>30</v>
      </c>
      <c r="L492" t="s">
        <v>47</v>
      </c>
      <c r="M492" t="s">
        <v>37</v>
      </c>
      <c r="N492">
        <v>3</v>
      </c>
      <c r="O492">
        <f t="shared" si="28"/>
        <v>51.32</v>
      </c>
      <c r="P492">
        <f t="shared" si="29"/>
        <v>123250</v>
      </c>
      <c r="Q492" t="str">
        <f>VLOOKUP(C492,Customers!$A:$D,3,0)</f>
        <v>West</v>
      </c>
      <c r="R492" t="str">
        <f t="shared" si="30"/>
        <v>October</v>
      </c>
      <c r="S492">
        <f t="shared" si="31"/>
        <v>10</v>
      </c>
      <c r="T492" t="str">
        <f>VLOOKUP(C492,Customers!$A:$B,2,0)</f>
        <v>HDFC Bank</v>
      </c>
    </row>
    <row r="493" spans="1:20">
      <c r="A493" t="s">
        <v>580</v>
      </c>
      <c r="B493" s="1">
        <v>45404</v>
      </c>
      <c r="C493" t="s">
        <v>65</v>
      </c>
      <c r="D493" t="s">
        <v>23</v>
      </c>
      <c r="E493" t="s">
        <v>24</v>
      </c>
      <c r="F493">
        <v>3</v>
      </c>
      <c r="G493">
        <v>342000</v>
      </c>
      <c r="H493">
        <v>150000</v>
      </c>
      <c r="I493">
        <v>192000</v>
      </c>
      <c r="J493">
        <v>5</v>
      </c>
      <c r="K493" t="s">
        <v>30</v>
      </c>
      <c r="L493" t="s">
        <v>31</v>
      </c>
      <c r="M493" t="s">
        <v>32</v>
      </c>
      <c r="N493">
        <v>12</v>
      </c>
      <c r="O493">
        <f t="shared" si="28"/>
        <v>56.14</v>
      </c>
      <c r="P493">
        <f t="shared" si="29"/>
        <v>114000</v>
      </c>
      <c r="Q493" t="str">
        <f>VLOOKUP(C493,Customers!$A:$D,3,0)</f>
        <v>North</v>
      </c>
      <c r="R493" t="str">
        <f t="shared" si="30"/>
        <v>April</v>
      </c>
      <c r="S493">
        <f t="shared" si="31"/>
        <v>4</v>
      </c>
      <c r="T493" t="str">
        <f>VLOOKUP(C493,Customers!$A:$B,2,0)</f>
        <v>Zomato Pvt Ltd</v>
      </c>
    </row>
    <row r="494" spans="1:20">
      <c r="A494" t="s">
        <v>581</v>
      </c>
      <c r="B494" s="1">
        <v>45490</v>
      </c>
      <c r="C494" t="s">
        <v>79</v>
      </c>
      <c r="D494" t="s">
        <v>86</v>
      </c>
      <c r="E494" t="s">
        <v>24</v>
      </c>
      <c r="F494">
        <v>1</v>
      </c>
      <c r="G494">
        <v>119000</v>
      </c>
      <c r="H494">
        <v>60000</v>
      </c>
      <c r="I494">
        <v>59000</v>
      </c>
      <c r="J494">
        <v>15</v>
      </c>
      <c r="K494" t="s">
        <v>30</v>
      </c>
      <c r="L494" t="s">
        <v>19</v>
      </c>
      <c r="M494" t="s">
        <v>20</v>
      </c>
      <c r="N494">
        <v>12</v>
      </c>
      <c r="O494">
        <f t="shared" si="28"/>
        <v>49.58</v>
      </c>
      <c r="P494">
        <f t="shared" si="29"/>
        <v>119000</v>
      </c>
      <c r="Q494" t="str">
        <f>VLOOKUP(C494,Customers!$A:$D,3,0)</f>
        <v>West</v>
      </c>
      <c r="R494" t="str">
        <f t="shared" si="30"/>
        <v>July</v>
      </c>
      <c r="S494">
        <f t="shared" si="31"/>
        <v>7</v>
      </c>
      <c r="T494" t="str">
        <f>VLOOKUP(C494,Customers!$A:$B,2,0)</f>
        <v>Dream11 Sports</v>
      </c>
    </row>
    <row r="495" spans="1:20">
      <c r="A495" t="s">
        <v>582</v>
      </c>
      <c r="B495" s="1">
        <v>45426</v>
      </c>
      <c r="C495" t="s">
        <v>106</v>
      </c>
      <c r="D495" t="s">
        <v>101</v>
      </c>
      <c r="E495" t="s">
        <v>62</v>
      </c>
      <c r="F495">
        <v>4</v>
      </c>
      <c r="G495">
        <v>272000</v>
      </c>
      <c r="H495">
        <v>140000</v>
      </c>
      <c r="I495">
        <v>132000</v>
      </c>
      <c r="J495">
        <v>15</v>
      </c>
      <c r="K495" t="s">
        <v>30</v>
      </c>
      <c r="L495" t="s">
        <v>70</v>
      </c>
      <c r="M495" t="s">
        <v>20</v>
      </c>
      <c r="N495">
        <v>3</v>
      </c>
      <c r="O495">
        <f t="shared" si="28"/>
        <v>48.53</v>
      </c>
      <c r="P495">
        <f t="shared" si="29"/>
        <v>68000</v>
      </c>
      <c r="Q495" t="str">
        <f>VLOOKUP(C495,Customers!$A:$D,3,0)</f>
        <v>North</v>
      </c>
      <c r="R495" t="str">
        <f t="shared" si="30"/>
        <v>May</v>
      </c>
      <c r="S495">
        <f t="shared" si="31"/>
        <v>5</v>
      </c>
      <c r="T495" t="str">
        <f>VLOOKUP(C495,Customers!$A:$B,2,0)</f>
        <v>Urban Company</v>
      </c>
    </row>
    <row r="496" spans="1:20">
      <c r="A496" t="s">
        <v>583</v>
      </c>
      <c r="B496" s="1">
        <v>45590</v>
      </c>
      <c r="C496" t="s">
        <v>124</v>
      </c>
      <c r="D496" t="s">
        <v>154</v>
      </c>
      <c r="E496" t="s">
        <v>45</v>
      </c>
      <c r="F496">
        <v>3</v>
      </c>
      <c r="G496">
        <v>312000</v>
      </c>
      <c r="H496">
        <v>165000</v>
      </c>
      <c r="I496">
        <v>147000</v>
      </c>
      <c r="J496">
        <v>20</v>
      </c>
      <c r="K496" t="s">
        <v>30</v>
      </c>
      <c r="L496" t="s">
        <v>47</v>
      </c>
      <c r="M496" t="s">
        <v>59</v>
      </c>
      <c r="N496">
        <v>3</v>
      </c>
      <c r="O496">
        <f t="shared" si="28"/>
        <v>47.12</v>
      </c>
      <c r="P496">
        <f t="shared" si="29"/>
        <v>104000</v>
      </c>
      <c r="Q496" t="str">
        <f>VLOOKUP(C496,Customers!$A:$D,3,0)</f>
        <v>South</v>
      </c>
      <c r="R496" t="str">
        <f t="shared" si="30"/>
        <v>October</v>
      </c>
      <c r="S496">
        <f t="shared" si="31"/>
        <v>10</v>
      </c>
      <c r="T496" t="str">
        <f>VLOOKUP(C496,Customers!$A:$B,2,0)</f>
        <v>Zerodha Capital</v>
      </c>
    </row>
    <row r="497" spans="1:20">
      <c r="A497" t="s">
        <v>584</v>
      </c>
      <c r="B497" s="1">
        <v>45548</v>
      </c>
      <c r="C497" t="s">
        <v>79</v>
      </c>
      <c r="D497" t="s">
        <v>101</v>
      </c>
      <c r="E497" t="s">
        <v>62</v>
      </c>
      <c r="F497">
        <v>2</v>
      </c>
      <c r="G497">
        <v>160000</v>
      </c>
      <c r="H497">
        <v>70000</v>
      </c>
      <c r="I497">
        <v>90000</v>
      </c>
      <c r="J497">
        <v>0</v>
      </c>
      <c r="K497" t="s">
        <v>25</v>
      </c>
      <c r="L497" t="s">
        <v>97</v>
      </c>
      <c r="M497" t="s">
        <v>32</v>
      </c>
      <c r="N497">
        <v>6</v>
      </c>
      <c r="O497">
        <f t="shared" si="28"/>
        <v>56.25</v>
      </c>
      <c r="P497">
        <f t="shared" si="29"/>
        <v>80000</v>
      </c>
      <c r="Q497" t="str">
        <f>VLOOKUP(C497,Customers!$A:$D,3,0)</f>
        <v>West</v>
      </c>
      <c r="R497" t="str">
        <f t="shared" si="30"/>
        <v>September</v>
      </c>
      <c r="S497">
        <f t="shared" si="31"/>
        <v>9</v>
      </c>
      <c r="T497" t="str">
        <f>VLOOKUP(C497,Customers!$A:$B,2,0)</f>
        <v>Dream11 Sports</v>
      </c>
    </row>
    <row r="498" spans="1:20">
      <c r="A498" t="s">
        <v>585</v>
      </c>
      <c r="B498" s="1">
        <v>45639</v>
      </c>
      <c r="C498" t="s">
        <v>167</v>
      </c>
      <c r="D498" t="s">
        <v>69</v>
      </c>
      <c r="E498" t="s">
        <v>62</v>
      </c>
      <c r="F498">
        <v>2</v>
      </c>
      <c r="G498">
        <v>180500</v>
      </c>
      <c r="H498">
        <v>80000</v>
      </c>
      <c r="I498">
        <v>100500</v>
      </c>
      <c r="J498">
        <v>5</v>
      </c>
      <c r="K498" t="s">
        <v>30</v>
      </c>
      <c r="L498" t="s">
        <v>19</v>
      </c>
      <c r="M498" t="s">
        <v>59</v>
      </c>
      <c r="N498">
        <v>24</v>
      </c>
      <c r="O498">
        <f t="shared" si="28"/>
        <v>55.68</v>
      </c>
      <c r="P498">
        <f t="shared" si="29"/>
        <v>90250</v>
      </c>
      <c r="Q498" t="str">
        <f>VLOOKUP(C498,Customers!$A:$D,3,0)</f>
        <v>South</v>
      </c>
      <c r="R498" t="str">
        <f t="shared" si="30"/>
        <v>December</v>
      </c>
      <c r="S498">
        <f t="shared" si="31"/>
        <v>12</v>
      </c>
      <c r="T498" t="str">
        <f>VLOOKUP(C498,Customers!$A:$B,2,0)</f>
        <v>Flipkart India</v>
      </c>
    </row>
    <row r="499" spans="1:20">
      <c r="A499" t="s">
        <v>586</v>
      </c>
      <c r="B499" s="1">
        <v>45582</v>
      </c>
      <c r="C499" t="s">
        <v>158</v>
      </c>
      <c r="D499" t="s">
        <v>89</v>
      </c>
      <c r="E499" t="s">
        <v>45</v>
      </c>
      <c r="F499">
        <v>1</v>
      </c>
      <c r="G499">
        <v>160000</v>
      </c>
      <c r="H499">
        <v>70000</v>
      </c>
      <c r="I499">
        <v>90000</v>
      </c>
      <c r="J499">
        <v>0</v>
      </c>
      <c r="K499" t="s">
        <v>30</v>
      </c>
      <c r="L499" t="s">
        <v>51</v>
      </c>
      <c r="M499" t="s">
        <v>20</v>
      </c>
      <c r="N499">
        <v>6</v>
      </c>
      <c r="O499">
        <f t="shared" si="28"/>
        <v>56.25</v>
      </c>
      <c r="P499">
        <f t="shared" si="29"/>
        <v>160000</v>
      </c>
      <c r="Q499" t="str">
        <f>VLOOKUP(C499,Customers!$A:$D,3,0)</f>
        <v>West</v>
      </c>
      <c r="R499" t="str">
        <f t="shared" si="30"/>
        <v>October</v>
      </c>
      <c r="S499">
        <f t="shared" si="31"/>
        <v>10</v>
      </c>
      <c r="T499" t="str">
        <f>VLOOKUP(C499,Customers!$A:$B,2,0)</f>
        <v>Tanishq Retail</v>
      </c>
    </row>
    <row r="500" spans="1:20">
      <c r="A500" t="s">
        <v>587</v>
      </c>
      <c r="B500" s="1">
        <v>45360</v>
      </c>
      <c r="C500" t="s">
        <v>99</v>
      </c>
      <c r="D500" t="s">
        <v>82</v>
      </c>
      <c r="E500" t="s">
        <v>54</v>
      </c>
      <c r="F500">
        <v>2</v>
      </c>
      <c r="G500">
        <v>290000</v>
      </c>
      <c r="H500">
        <v>120000</v>
      </c>
      <c r="I500">
        <v>170000</v>
      </c>
      <c r="J500">
        <v>0</v>
      </c>
      <c r="K500" t="s">
        <v>30</v>
      </c>
      <c r="L500" t="s">
        <v>97</v>
      </c>
      <c r="M500" t="s">
        <v>32</v>
      </c>
      <c r="N500">
        <v>24</v>
      </c>
      <c r="O500">
        <f t="shared" si="28"/>
        <v>58.62</v>
      </c>
      <c r="P500">
        <f t="shared" si="29"/>
        <v>145000</v>
      </c>
      <c r="Q500" t="str">
        <f>VLOOKUP(C500,Customers!$A:$D,3,0)</f>
        <v>West</v>
      </c>
      <c r="R500" t="str">
        <f t="shared" si="30"/>
        <v>March</v>
      </c>
      <c r="S500">
        <f t="shared" si="31"/>
        <v>3</v>
      </c>
      <c r="T500" t="str">
        <f>VLOOKUP(C500,Customers!$A:$B,2,0)</f>
        <v>Tata Consultancy</v>
      </c>
    </row>
    <row r="501" spans="1:20">
      <c r="A501" t="s">
        <v>588</v>
      </c>
      <c r="B501" s="1">
        <v>45598</v>
      </c>
      <c r="C501" t="s">
        <v>158</v>
      </c>
      <c r="D501" t="s">
        <v>92</v>
      </c>
      <c r="E501" t="s">
        <v>24</v>
      </c>
      <c r="F501">
        <v>3</v>
      </c>
      <c r="G501">
        <v>540000</v>
      </c>
      <c r="H501">
        <v>240000</v>
      </c>
      <c r="I501">
        <v>300000</v>
      </c>
      <c r="J501">
        <v>0</v>
      </c>
      <c r="K501" t="s">
        <v>30</v>
      </c>
      <c r="L501" t="s">
        <v>47</v>
      </c>
      <c r="M501" t="s">
        <v>20</v>
      </c>
      <c r="N501">
        <v>24</v>
      </c>
      <c r="O501">
        <f t="shared" si="28"/>
        <v>55.56</v>
      </c>
      <c r="P501">
        <f t="shared" si="29"/>
        <v>180000</v>
      </c>
      <c r="Q501" t="str">
        <f>VLOOKUP(C501,Customers!$A:$D,3,0)</f>
        <v>West</v>
      </c>
      <c r="R501" t="str">
        <f t="shared" si="30"/>
        <v>November</v>
      </c>
      <c r="S501">
        <f t="shared" si="31"/>
        <v>11</v>
      </c>
      <c r="T501" t="str">
        <f>VLOOKUP(C501,Customers!$A:$B,2,0)</f>
        <v>Tanishq Retail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>
      <selection activeCell="H13" sqref="H13"/>
    </sheetView>
  </sheetViews>
  <sheetFormatPr defaultRowHeight="14.4"/>
  <sheetData>
    <row r="1" spans="1:4">
      <c r="A1" t="s">
        <v>2</v>
      </c>
      <c r="B1" t="s">
        <v>589</v>
      </c>
      <c r="C1" t="s">
        <v>590</v>
      </c>
      <c r="D1" t="s">
        <v>591</v>
      </c>
    </row>
    <row r="2" spans="1:4">
      <c r="A2" t="s">
        <v>22</v>
      </c>
      <c r="B2" t="s">
        <v>592</v>
      </c>
      <c r="C2" t="s">
        <v>593</v>
      </c>
      <c r="D2" t="s">
        <v>594</v>
      </c>
    </row>
    <row r="3" spans="1:4">
      <c r="A3" t="s">
        <v>99</v>
      </c>
      <c r="B3" t="s">
        <v>595</v>
      </c>
      <c r="C3" t="s">
        <v>596</v>
      </c>
      <c r="D3" t="s">
        <v>594</v>
      </c>
    </row>
    <row r="4" spans="1:4">
      <c r="A4" t="s">
        <v>56</v>
      </c>
      <c r="B4" t="s">
        <v>597</v>
      </c>
      <c r="C4" t="s">
        <v>593</v>
      </c>
      <c r="D4" t="s">
        <v>594</v>
      </c>
    </row>
    <row r="5" spans="1:4">
      <c r="A5" t="s">
        <v>151</v>
      </c>
      <c r="B5" t="s">
        <v>598</v>
      </c>
      <c r="C5" t="s">
        <v>599</v>
      </c>
      <c r="D5" t="s">
        <v>594</v>
      </c>
    </row>
    <row r="6" spans="1:4">
      <c r="A6" t="s">
        <v>88</v>
      </c>
      <c r="B6" t="s">
        <v>600</v>
      </c>
      <c r="C6" t="s">
        <v>596</v>
      </c>
      <c r="D6" t="s">
        <v>601</v>
      </c>
    </row>
    <row r="7" spans="1:4">
      <c r="A7" t="s">
        <v>122</v>
      </c>
      <c r="B7" t="s">
        <v>602</v>
      </c>
      <c r="C7" t="s">
        <v>596</v>
      </c>
      <c r="D7" t="s">
        <v>601</v>
      </c>
    </row>
    <row r="8" spans="1:4">
      <c r="A8" t="s">
        <v>73</v>
      </c>
      <c r="B8" t="s">
        <v>603</v>
      </c>
      <c r="C8" t="s">
        <v>596</v>
      </c>
      <c r="D8" t="s">
        <v>601</v>
      </c>
    </row>
    <row r="9" spans="1:4">
      <c r="A9" t="s">
        <v>65</v>
      </c>
      <c r="B9" t="s">
        <v>604</v>
      </c>
      <c r="C9" t="s">
        <v>599</v>
      </c>
      <c r="D9" t="s">
        <v>601</v>
      </c>
    </row>
    <row r="10" spans="1:4">
      <c r="A10" t="s">
        <v>15</v>
      </c>
      <c r="B10" t="s">
        <v>605</v>
      </c>
      <c r="C10" t="s">
        <v>593</v>
      </c>
      <c r="D10" t="s">
        <v>601</v>
      </c>
    </row>
    <row r="11" spans="1:4">
      <c r="A11" t="s">
        <v>173</v>
      </c>
      <c r="B11" t="s">
        <v>606</v>
      </c>
      <c r="C11" t="s">
        <v>593</v>
      </c>
      <c r="D11" t="s">
        <v>601</v>
      </c>
    </row>
    <row r="12" spans="1:4">
      <c r="A12" t="s">
        <v>104</v>
      </c>
      <c r="B12" t="s">
        <v>607</v>
      </c>
      <c r="C12" t="s">
        <v>593</v>
      </c>
      <c r="D12" t="s">
        <v>608</v>
      </c>
    </row>
    <row r="13" spans="1:4">
      <c r="A13" t="s">
        <v>115</v>
      </c>
      <c r="B13" t="s">
        <v>609</v>
      </c>
      <c r="C13" t="s">
        <v>599</v>
      </c>
      <c r="D13" t="s">
        <v>608</v>
      </c>
    </row>
    <row r="14" spans="1:4">
      <c r="A14" t="s">
        <v>143</v>
      </c>
      <c r="B14" t="s">
        <v>610</v>
      </c>
      <c r="C14" t="s">
        <v>599</v>
      </c>
      <c r="D14" t="s">
        <v>608</v>
      </c>
    </row>
    <row r="15" spans="1:4">
      <c r="A15" t="s">
        <v>29</v>
      </c>
      <c r="B15" t="s">
        <v>611</v>
      </c>
      <c r="C15" t="s">
        <v>593</v>
      </c>
      <c r="D15" t="s">
        <v>608</v>
      </c>
    </row>
    <row r="16" spans="1:4">
      <c r="A16" t="s">
        <v>79</v>
      </c>
      <c r="B16" t="s">
        <v>612</v>
      </c>
      <c r="C16" t="s">
        <v>596</v>
      </c>
      <c r="D16" t="s">
        <v>608</v>
      </c>
    </row>
    <row r="17" spans="1:4">
      <c r="A17" t="s">
        <v>133</v>
      </c>
      <c r="B17" t="s">
        <v>613</v>
      </c>
      <c r="C17" t="s">
        <v>593</v>
      </c>
      <c r="D17" t="s">
        <v>608</v>
      </c>
    </row>
    <row r="18" spans="1:4">
      <c r="A18" t="s">
        <v>124</v>
      </c>
      <c r="B18" t="s">
        <v>614</v>
      </c>
      <c r="C18" t="s">
        <v>593</v>
      </c>
      <c r="D18" t="s">
        <v>608</v>
      </c>
    </row>
    <row r="19" spans="1:4">
      <c r="A19" t="s">
        <v>91</v>
      </c>
      <c r="B19" t="s">
        <v>615</v>
      </c>
      <c r="C19" t="s">
        <v>593</v>
      </c>
      <c r="D19" t="s">
        <v>608</v>
      </c>
    </row>
    <row r="20" spans="1:4">
      <c r="A20" t="s">
        <v>106</v>
      </c>
      <c r="B20" t="s">
        <v>616</v>
      </c>
      <c r="C20" t="s">
        <v>599</v>
      </c>
      <c r="D20" t="s">
        <v>608</v>
      </c>
    </row>
    <row r="21" spans="1:4">
      <c r="A21" t="s">
        <v>131</v>
      </c>
      <c r="B21" t="s">
        <v>617</v>
      </c>
      <c r="C21" t="s">
        <v>599</v>
      </c>
      <c r="D21" t="s">
        <v>608</v>
      </c>
    </row>
    <row r="22" spans="1:4">
      <c r="A22" t="s">
        <v>158</v>
      </c>
      <c r="B22" t="s">
        <v>618</v>
      </c>
      <c r="C22" t="s">
        <v>596</v>
      </c>
      <c r="D22" t="s">
        <v>601</v>
      </c>
    </row>
    <row r="23" spans="1:4">
      <c r="A23" t="s">
        <v>49</v>
      </c>
      <c r="B23" t="s">
        <v>619</v>
      </c>
      <c r="C23" t="s">
        <v>593</v>
      </c>
      <c r="D23" t="s">
        <v>601</v>
      </c>
    </row>
    <row r="24" spans="1:4">
      <c r="A24" t="s">
        <v>167</v>
      </c>
      <c r="B24" t="s">
        <v>620</v>
      </c>
      <c r="C24" t="s">
        <v>593</v>
      </c>
      <c r="D24" t="s">
        <v>594</v>
      </c>
    </row>
    <row r="25" spans="1:4">
      <c r="A25" t="s">
        <v>39</v>
      </c>
      <c r="B25" t="s">
        <v>621</v>
      </c>
      <c r="C25" t="s">
        <v>599</v>
      </c>
      <c r="D25" t="s">
        <v>594</v>
      </c>
    </row>
    <row r="26" spans="1:4">
      <c r="A26" t="s">
        <v>34</v>
      </c>
      <c r="B26" t="s">
        <v>622</v>
      </c>
      <c r="C26" t="s">
        <v>599</v>
      </c>
      <c r="D26" t="s">
        <v>601</v>
      </c>
    </row>
    <row r="27" spans="1:4">
      <c r="A27" t="s">
        <v>109</v>
      </c>
      <c r="B27" t="s">
        <v>623</v>
      </c>
      <c r="C27" t="s">
        <v>599</v>
      </c>
      <c r="D27" t="s">
        <v>608</v>
      </c>
    </row>
    <row r="28" spans="1:4">
      <c r="A28" t="s">
        <v>139</v>
      </c>
      <c r="B28" t="s">
        <v>624</v>
      </c>
      <c r="C28" t="s">
        <v>599</v>
      </c>
      <c r="D28" t="s">
        <v>601</v>
      </c>
    </row>
    <row r="29" spans="1:4">
      <c r="A29" t="s">
        <v>43</v>
      </c>
      <c r="B29" t="s">
        <v>625</v>
      </c>
      <c r="C29" t="s">
        <v>593</v>
      </c>
      <c r="D29" t="s">
        <v>608</v>
      </c>
    </row>
    <row r="30" spans="1:4">
      <c r="A30" t="s">
        <v>94</v>
      </c>
      <c r="B30" t="s">
        <v>626</v>
      </c>
      <c r="C30" t="s">
        <v>593</v>
      </c>
      <c r="D30" t="s">
        <v>601</v>
      </c>
    </row>
    <row r="31" spans="1:4">
      <c r="A31" t="s">
        <v>136</v>
      </c>
      <c r="B31" t="s">
        <v>627</v>
      </c>
      <c r="C31" t="s">
        <v>599</v>
      </c>
      <c r="D31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Pivot_Region</vt:lpstr>
      <vt:lpstr>Pivot_Category</vt:lpstr>
      <vt:lpstr>Pivot_Monthly</vt:lpstr>
      <vt:lpstr>Pivot_Customers</vt:lpstr>
      <vt:lpstr>Orders</vt:lpstr>
      <vt:lpstr>Customers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kesharwani</dc:creator>
  <cp:lastModifiedBy>Khushi kesharwani</cp:lastModifiedBy>
  <dcterms:created xsi:type="dcterms:W3CDTF">2026-06-17T13:25:00Z</dcterms:created>
  <dcterms:modified xsi:type="dcterms:W3CDTF">2026-06-17T14:36:33Z</dcterms:modified>
</cp:coreProperties>
</file>